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Gamma Data" sheetId="1" state="visible" r:id="rId1"/>
    <sheet xmlns:r="http://schemas.openxmlformats.org/officeDocument/2006/relationships" name="GEX Calc" sheetId="2" state="visible" r:id="rId2"/>
    <sheet xmlns:r="http://schemas.openxmlformats.org/officeDocument/2006/relationships" name="บันทึกโหมด" sheetId="3" state="visible" r:id="rId3"/>
    <sheet xmlns:r="http://schemas.openxmlformats.org/officeDocument/2006/relationships" name="Log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2">
    <numFmt numFmtId="164" formatCode="0.0\×"/>
    <numFmt numFmtId="165" formatCode="#,##0.0"/>
    <numFmt numFmtId="166" formatCode="\+#,##0;\-#,##0;0"/>
    <numFmt numFmtId="167" formatCode="dd/mm/yyyy"/>
    <numFmt numFmtId="168" formatCode="0.0%"/>
    <numFmt numFmtId="169" formatCode="\+0.0%;\-0.0%;0.0%"/>
    <numFmt numFmtId="170" formatCode="yyyy\-mm\-dd"/>
    <numFmt numFmtId="171" formatCode="0.0"/>
    <numFmt numFmtId="172" formatCode="yyyy\-mm\-dd\ hh:mm"/>
    <numFmt numFmtId="173" formatCode="yyyy-mm-dd"/>
    <numFmt numFmtId="174" formatCode="yyyy-mm-dd hh:mm"/>
    <numFmt numFmtId="175" formatCode="yyyy-mm-dd h:mm:ss"/>
  </numFmts>
  <fonts count="12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color rgb="FF0000FF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b val="1"/>
      <sz val="13"/>
    </font>
    <font>
      <name val="Arial"/>
      <charset val="1"/>
      <b val="1"/>
      <color rgb="FF008000"/>
      <sz val="12"/>
    </font>
    <font>
      <name val="Arial"/>
      <charset val="1"/>
      <b val="1"/>
      <color rgb="FF0000FF"/>
      <sz val="11"/>
    </font>
    <font>
      <name val="Arial"/>
      <charset val="1"/>
      <b val="1"/>
      <color rgb="FFCC0000"/>
      <sz val="12"/>
    </font>
    <font>
      <name val="Arial"/>
      <charset val="1"/>
      <b val="1"/>
      <sz val="12"/>
    </font>
    <font>
      <name val="Abadi"/>
      <charset val="1"/>
      <b val="1"/>
      <color theme="1"/>
      <sz val="11"/>
    </font>
    <font>
      <name val="Calibri"/>
      <charset val="1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3" fontId="0" fillId="0" borderId="0" pivotButton="0" quotePrefix="0" xfId="0"/>
    <xf numFmtId="3" fontId="4" fillId="0" borderId="0" pivotButton="0" quotePrefix="0" xfId="0"/>
    <xf numFmtId="3" fontId="3" fillId="0" borderId="0" pivotButton="0" quotePrefix="0" xfId="0"/>
    <xf numFmtId="3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center"/>
    </xf>
    <xf numFmtId="3" fontId="6" fillId="0" borderId="0" pivotButton="0" quotePrefix="0" xfId="0"/>
    <xf numFmtId="3" fontId="8" fillId="0" borderId="0" pivotButton="0" quotePrefix="0" xfId="0"/>
    <xf numFmtId="3" fontId="9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10" fillId="0" borderId="0" applyAlignment="1" pivotButton="0" quotePrefix="0" xfId="0">
      <alignment horizontal="center"/>
    </xf>
    <xf numFmtId="9" fontId="11" fillId="0" borderId="0" applyAlignment="1" pivotButton="0" quotePrefix="0" xfId="0">
      <alignment horizontal="center"/>
    </xf>
    <xf numFmtId="9" fontId="7" fillId="3" borderId="0" applyAlignment="1" pivotButton="0" quotePrefix="0" xfId="0">
      <alignment horizontal="center"/>
    </xf>
    <xf numFmtId="3" fontId="7" fillId="3" borderId="0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167" fontId="7" fillId="3" borderId="0" applyAlignment="1" pivotButton="0" quotePrefix="0" xfId="0">
      <alignment horizontal="center"/>
    </xf>
    <xf numFmtId="168" fontId="3" fillId="0" borderId="1" applyAlignment="1" pivotButton="0" quotePrefix="0" xfId="0">
      <alignment horizontal="center"/>
    </xf>
    <xf numFmtId="169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170" fontId="0" fillId="0" borderId="0" pivotButton="0" quotePrefix="0" xfId="0"/>
    <xf numFmtId="171" fontId="0" fillId="0" borderId="0" pivotButton="0" quotePrefix="0" xfId="0"/>
    <xf numFmtId="1" fontId="0" fillId="0" borderId="0" pivotButton="0" quotePrefix="0" xfId="0"/>
    <xf numFmtId="172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73" fontId="0" fillId="0" borderId="0" pivotButton="0" quotePrefix="0" xfId="0"/>
    <xf numFmtId="174" fontId="0" fillId="0" borderId="0" pivotButton="0" quotePrefix="0" xfId="0"/>
    <xf numFmtId="174" fontId="0" fillId="0" borderId="0" pivotButton="0" quotePrefix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Gross Gamma ตาม Strike (แรง hedging)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'GEX Calc'!$C$1</f>
              <strCache>
                <ptCount val="1"/>
                <pt idx="0">
                  <v>GROSS GAMMA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'GEX Calc'!$A$2:$A$109</f>
              <numCache>
                <formatCode>#,##0</formatCode>
                <ptCount val="83"/>
                <pt idx="0">
                  <v>3995</v>
                </pt>
                <pt idx="1">
                  <v>4000</v>
                </pt>
                <pt idx="2">
                  <v>4005</v>
                </pt>
                <pt idx="3">
                  <v>4010</v>
                </pt>
                <pt idx="4">
                  <v>4015</v>
                </pt>
                <pt idx="5">
                  <v>4020</v>
                </pt>
                <pt idx="6">
                  <v>4025</v>
                </pt>
                <pt idx="7">
                  <v>4030</v>
                </pt>
                <pt idx="8">
                  <v>4035</v>
                </pt>
                <pt idx="9">
                  <v>4040</v>
                </pt>
                <pt idx="10">
                  <v>4045</v>
                </pt>
                <pt idx="11">
                  <v>4050</v>
                </pt>
                <pt idx="12">
                  <v>4055</v>
                </pt>
                <pt idx="13">
                  <v>4060</v>
                </pt>
                <pt idx="14">
                  <v>4065</v>
                </pt>
                <pt idx="15">
                  <v>4070</v>
                </pt>
                <pt idx="16">
                  <v>4075</v>
                </pt>
                <pt idx="17">
                  <v>4080</v>
                </pt>
                <pt idx="18">
                  <v>4085</v>
                </pt>
                <pt idx="19">
                  <v>4090</v>
                </pt>
                <pt idx="20">
                  <v>4095</v>
                </pt>
                <pt idx="21">
                  <v>4100</v>
                </pt>
                <pt idx="22">
                  <v>4105</v>
                </pt>
                <pt idx="23">
                  <v>4110</v>
                </pt>
                <pt idx="24">
                  <v>4115</v>
                </pt>
                <pt idx="25">
                  <v>4120</v>
                </pt>
                <pt idx="26">
                  <v>4125</v>
                </pt>
                <pt idx="27">
                  <v>4130</v>
                </pt>
                <pt idx="28">
                  <v>4135</v>
                </pt>
                <pt idx="29">
                  <v>4140</v>
                </pt>
                <pt idx="30">
                  <v>4145</v>
                </pt>
                <pt idx="31">
                  <v>4150</v>
                </pt>
                <pt idx="32">
                  <v>4155</v>
                </pt>
                <pt idx="33">
                  <v>4160</v>
                </pt>
                <pt idx="34">
                  <v>4165</v>
                </pt>
                <pt idx="35">
                  <v>4170</v>
                </pt>
                <pt idx="36">
                  <v>4175</v>
                </pt>
                <pt idx="37">
                  <v>4180</v>
                </pt>
                <pt idx="38">
                  <v>4185</v>
                </pt>
                <pt idx="39">
                  <v>4190</v>
                </pt>
                <pt idx="40">
                  <v>4195</v>
                </pt>
                <pt idx="41">
                  <v>4200</v>
                </pt>
                <pt idx="42">
                  <v>4205</v>
                </pt>
                <pt idx="43">
                  <v>4210</v>
                </pt>
                <pt idx="44">
                  <v>4215</v>
                </pt>
                <pt idx="45">
                  <v>4220</v>
                </pt>
                <pt idx="46">
                  <v>4225</v>
                </pt>
                <pt idx="47">
                  <v>4230</v>
                </pt>
                <pt idx="48">
                  <v>4235</v>
                </pt>
                <pt idx="49">
                  <v>4240</v>
                </pt>
                <pt idx="50">
                  <v>4245</v>
                </pt>
                <pt idx="51">
                  <v>4250</v>
                </pt>
                <pt idx="52">
                  <v>4255</v>
                </pt>
                <pt idx="53">
                  <v>4260</v>
                </pt>
                <pt idx="54">
                  <v>4265</v>
                </pt>
                <pt idx="55">
                  <v>4270</v>
                </pt>
                <pt idx="56">
                  <v>4275</v>
                </pt>
                <pt idx="57">
                  <v>4280</v>
                </pt>
                <pt idx="58">
                  <v>4285</v>
                </pt>
                <pt idx="59">
                  <v>4290</v>
                </pt>
                <pt idx="60">
                  <v>4295</v>
                </pt>
                <pt idx="61">
                  <v>4300</v>
                </pt>
                <pt idx="62">
                  <v>4305</v>
                </pt>
                <pt idx="63">
                  <v>4310</v>
                </pt>
                <pt idx="64">
                  <v>4315</v>
                </pt>
                <pt idx="65">
                  <v>4320</v>
                </pt>
                <pt idx="66">
                  <v>4325</v>
                </pt>
                <pt idx="67">
                  <v>4330</v>
                </pt>
                <pt idx="68">
                  <v>4335</v>
                </pt>
                <pt idx="69">
                  <v>4340</v>
                </pt>
                <pt idx="70">
                  <v>4345</v>
                </pt>
                <pt idx="71">
                  <v>4350</v>
                </pt>
                <pt idx="72">
                  <v>4355</v>
                </pt>
                <pt idx="73">
                  <v>4360</v>
                </pt>
                <pt idx="74">
                  <v>4365</v>
                </pt>
                <pt idx="75">
                  <v>4370</v>
                </pt>
                <pt idx="76">
                  <v>4375</v>
                </pt>
                <pt idx="77">
                  <v>4380</v>
                </pt>
                <pt idx="78">
                  <v>4385</v>
                </pt>
                <pt idx="79">
                  <v>4390</v>
                </pt>
                <pt idx="80">
                  <v>4395</v>
                </pt>
                <pt idx="81">
                  <v>4400</v>
                </pt>
                <pt idx="82">
                  <v>4405</v>
                </pt>
              </numCache>
            </numRef>
          </cat>
          <val>
            <numRef>
              <f>'GEX Calc'!$C$2:$C$109</f>
              <numCache>
                <formatCode>#,##0</formatCode>
                <ptCount val="83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</v>
                </pt>
                <pt idx="11">
                  <v>1</v>
                </pt>
                <pt idx="12">
                  <v>0</v>
                </pt>
                <pt idx="13">
                  <v>7</v>
                </pt>
                <pt idx="14">
                  <v>0</v>
                </pt>
                <pt idx="15">
                  <v>2</v>
                </pt>
                <pt idx="16">
                  <v>2</v>
                </pt>
                <pt idx="17">
                  <v>2</v>
                </pt>
                <pt idx="18">
                  <v>0</v>
                </pt>
                <pt idx="19">
                  <v>5</v>
                </pt>
                <pt idx="20">
                  <v>0</v>
                </pt>
                <pt idx="21">
                  <v>39</v>
                </pt>
                <pt idx="22">
                  <v>1</v>
                </pt>
                <pt idx="23">
                  <v>2</v>
                </pt>
                <pt idx="24">
                  <v>0</v>
                </pt>
                <pt idx="25">
                  <v>1</v>
                </pt>
                <pt idx="26">
                  <v>20</v>
                </pt>
                <pt idx="27">
                  <v>0</v>
                </pt>
                <pt idx="28">
                  <v>1</v>
                </pt>
                <pt idx="29">
                  <v>9</v>
                </pt>
                <pt idx="30">
                  <v>2</v>
                </pt>
                <pt idx="31">
                  <v>8</v>
                </pt>
                <pt idx="32">
                  <v>1</v>
                </pt>
                <pt idx="33">
                  <v>20</v>
                </pt>
                <pt idx="34">
                  <v>3</v>
                </pt>
                <pt idx="35">
                  <v>0</v>
                </pt>
                <pt idx="36">
                  <v>70</v>
                </pt>
                <pt idx="37">
                  <v>3</v>
                </pt>
                <pt idx="38">
                  <v>2</v>
                </pt>
                <pt idx="39">
                  <v>0</v>
                </pt>
                <pt idx="40">
                  <v>25</v>
                </pt>
                <pt idx="41">
                  <v>44</v>
                </pt>
                <pt idx="42">
                  <v>2</v>
                </pt>
                <pt idx="43">
                  <v>6</v>
                </pt>
                <pt idx="44">
                  <v>2</v>
                </pt>
                <pt idx="45">
                  <v>4</v>
                </pt>
                <pt idx="46">
                  <v>20</v>
                </pt>
                <pt idx="47">
                  <v>4</v>
                </pt>
                <pt idx="48">
                  <v>8</v>
                </pt>
                <pt idx="49">
                  <v>2</v>
                </pt>
                <pt idx="50">
                  <v>1</v>
                </pt>
                <pt idx="51">
                  <v>8</v>
                </pt>
                <pt idx="52">
                  <v>6</v>
                </pt>
                <pt idx="53">
                  <v>1</v>
                </pt>
                <pt idx="54">
                  <v>1</v>
                </pt>
                <pt idx="55">
                  <v>0</v>
                </pt>
                <pt idx="56">
                  <v>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6</v>
                </pt>
                <pt idx="62">
                  <v>0</v>
                </pt>
                <pt idx="63">
                  <v>1</v>
                </pt>
                <pt idx="64">
                  <v>0</v>
                </pt>
                <pt idx="65">
                  <v>1</v>
                </pt>
                <pt idx="66">
                  <v>6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3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1</v>
                </pt>
                <pt idx="8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7500380"/>
        <axId val="29079350"/>
      </barChart>
      <catAx>
        <axId val="3750038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Strike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9079350"/>
        <crosses val="autoZero"/>
        <auto val="1"/>
        <lblAlgn val="ctr"/>
        <lblOffset val="100"/>
        <noMultiLvlLbl val="0"/>
      </catAx>
      <valAx>
        <axId val="2907935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Gross Gamma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750038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10</col>
      <colOff>352440</colOff>
      <row>0</row>
      <rowOff>0</rowOff>
    </from>
    <to>
      <col>25</col>
      <colOff>388440</colOff>
      <row>22</row>
      <rowOff>131040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zoomScaleNormal="100" workbookViewId="0">
      <selection activeCell="E68" sqref="E68"/>
    </sheetView>
  </sheetViews>
  <sheetFormatPr baseColWidth="8" defaultColWidth="8.7109375" defaultRowHeight="15"/>
  <cols>
    <col width="12" customWidth="1" style="35" min="1" max="1"/>
    <col width="17" customWidth="1" style="35" min="2" max="3"/>
  </cols>
  <sheetData>
    <row r="1" ht="15" customHeight="1" s="35">
      <c r="A1" s="1" t="inlineStr">
        <is>
          <t>STRIKE</t>
        </is>
      </c>
      <c r="B1" s="1" t="inlineStr">
        <is>
          <t xml:space="preserve">CALL GAMMA </t>
        </is>
      </c>
      <c r="C1" s="1" t="inlineStr">
        <is>
          <t xml:space="preserve">PUT GAMMA </t>
        </is>
      </c>
    </row>
    <row r="2" ht="15" customHeight="1" s="35">
      <c r="A2" s="2" t="n">
        <v>4095</v>
      </c>
      <c r="B2" s="2" t="n">
        <v>0</v>
      </c>
      <c r="C2" s="2" t="n">
        <v>0</v>
      </c>
    </row>
    <row r="3" ht="15" customHeight="1" s="35">
      <c r="A3" s="2" t="n">
        <v>4100</v>
      </c>
      <c r="B3" s="2" t="n">
        <v>0</v>
      </c>
      <c r="C3" s="2" t="n">
        <v>14</v>
      </c>
    </row>
    <row r="4" ht="15" customHeight="1" s="35">
      <c r="A4" s="2" t="n">
        <v>4105</v>
      </c>
      <c r="B4" s="2" t="n">
        <v>0</v>
      </c>
      <c r="C4" s="2" t="n">
        <v>1</v>
      </c>
    </row>
    <row r="5" ht="15" customHeight="1" s="35">
      <c r="A5" s="2" t="n">
        <v>4110</v>
      </c>
      <c r="B5" s="2" t="n">
        <v>0</v>
      </c>
      <c r="C5" s="2" t="n">
        <v>1</v>
      </c>
    </row>
    <row r="6" ht="15" customHeight="1" s="35">
      <c r="A6" s="2" t="n">
        <v>4115</v>
      </c>
      <c r="B6" s="2" t="n">
        <v>0</v>
      </c>
      <c r="C6" s="2" t="n">
        <v>1</v>
      </c>
    </row>
    <row r="7" ht="15" customHeight="1" s="35">
      <c r="A7" s="2" t="n">
        <v>4120</v>
      </c>
      <c r="B7" s="2" t="n">
        <v>0</v>
      </c>
      <c r="C7" s="2" t="n">
        <v>2</v>
      </c>
    </row>
    <row r="8" ht="15" customHeight="1" s="35">
      <c r="A8" s="2" t="n">
        <v>4125</v>
      </c>
      <c r="B8" s="2" t="n">
        <v>0</v>
      </c>
      <c r="C8" s="2" t="n">
        <v>6</v>
      </c>
    </row>
    <row r="9" ht="15" customHeight="1" s="35">
      <c r="A9" s="2" t="n">
        <v>4130</v>
      </c>
      <c r="B9" s="2" t="n">
        <v>0</v>
      </c>
      <c r="C9" s="2" t="n">
        <v>15</v>
      </c>
    </row>
    <row r="10" ht="15" customHeight="1" s="35">
      <c r="A10" s="2" t="n">
        <v>4135</v>
      </c>
      <c r="B10" s="2" t="n">
        <v>0</v>
      </c>
      <c r="C10" s="2" t="n">
        <v>3</v>
      </c>
    </row>
    <row r="11" ht="15" customHeight="1" s="35">
      <c r="A11" s="2" t="n">
        <v>4140</v>
      </c>
      <c r="B11" s="2" t="n">
        <v>1</v>
      </c>
      <c r="C11" s="2" t="n">
        <v>2</v>
      </c>
    </row>
    <row r="12" ht="15" customHeight="1" s="35">
      <c r="A12" s="2" t="n">
        <v>4145</v>
      </c>
      <c r="B12" s="2" t="n">
        <v>0</v>
      </c>
      <c r="C12" s="2" t="n">
        <v>8</v>
      </c>
    </row>
    <row r="13" ht="15" customHeight="1" s="35">
      <c r="A13" s="2" t="n">
        <v>4150</v>
      </c>
      <c r="B13" s="2" t="n">
        <v>1</v>
      </c>
      <c r="C13" s="2" t="n">
        <v>18</v>
      </c>
    </row>
    <row r="14" ht="15" customHeight="1" s="35">
      <c r="A14" s="2" t="n">
        <v>4155</v>
      </c>
      <c r="B14" s="2" t="n">
        <v>1</v>
      </c>
      <c r="C14" s="2" t="n">
        <v>19</v>
      </c>
    </row>
    <row r="15" ht="15" customHeight="1" s="35">
      <c r="A15" s="2" t="n">
        <v>4160</v>
      </c>
      <c r="B15" s="2" t="n">
        <v>3</v>
      </c>
      <c r="C15" s="2" t="n">
        <v>17</v>
      </c>
    </row>
    <row r="16" ht="15" customHeight="1" s="35">
      <c r="A16" s="2" t="n">
        <v>4165</v>
      </c>
      <c r="B16" s="2" t="n">
        <v>30</v>
      </c>
      <c r="C16" s="2" t="n">
        <v>10</v>
      </c>
    </row>
    <row r="17" ht="15" customHeight="1" s="35">
      <c r="A17" s="2" t="n">
        <v>4170</v>
      </c>
      <c r="B17" s="2" t="n">
        <v>2</v>
      </c>
      <c r="C17" s="2" t="n">
        <v>16</v>
      </c>
    </row>
    <row r="18" ht="15" customHeight="1" s="35">
      <c r="A18" s="2" t="n">
        <v>4175</v>
      </c>
      <c r="B18" s="2" t="n">
        <v>8</v>
      </c>
      <c r="C18" s="2" t="n">
        <v>29</v>
      </c>
    </row>
    <row r="19" ht="15" customHeight="1" s="35">
      <c r="A19" s="2" t="n">
        <v>4180</v>
      </c>
      <c r="B19" s="2" t="n">
        <v>14</v>
      </c>
      <c r="C19" s="2" t="n">
        <v>29</v>
      </c>
    </row>
    <row r="20" ht="15" customHeight="1" s="35">
      <c r="A20" s="2" t="n">
        <v>4185</v>
      </c>
      <c r="B20" s="2" t="n">
        <v>31</v>
      </c>
      <c r="C20" s="2" t="n">
        <v>57</v>
      </c>
    </row>
    <row r="21" ht="15" customHeight="1" s="35">
      <c r="A21" s="2" t="n">
        <v>4190</v>
      </c>
      <c r="B21" s="2" t="n">
        <v>20</v>
      </c>
      <c r="C21" s="2" t="n">
        <v>16</v>
      </c>
    </row>
    <row r="22" ht="15" customHeight="1" s="35">
      <c r="A22" s="2" t="n">
        <v>4195</v>
      </c>
      <c r="B22" s="2" t="n">
        <v>5</v>
      </c>
      <c r="C22" s="2" t="n">
        <v>6</v>
      </c>
    </row>
    <row r="23" ht="15" customHeight="1" s="35">
      <c r="A23" s="2" t="n">
        <v>4200</v>
      </c>
      <c r="B23" s="2" t="n">
        <v>44</v>
      </c>
      <c r="C23" s="2" t="n">
        <v>23</v>
      </c>
    </row>
    <row r="24" ht="15" customHeight="1" s="35">
      <c r="A24" s="2" t="n">
        <v>4205</v>
      </c>
      <c r="B24" s="2" t="n">
        <v>14</v>
      </c>
      <c r="C24" s="2" t="n">
        <v>2</v>
      </c>
    </row>
    <row r="25" ht="15" customHeight="1" s="35">
      <c r="A25" s="2" t="n">
        <v>4210</v>
      </c>
      <c r="B25" s="2" t="n">
        <v>10</v>
      </c>
      <c r="C25" s="2" t="n">
        <v>5</v>
      </c>
    </row>
    <row r="26" ht="15" customHeight="1" s="35">
      <c r="A26" s="2" t="n">
        <v>4215</v>
      </c>
      <c r="B26" s="2" t="n">
        <v>17</v>
      </c>
      <c r="C26" s="2" t="n">
        <v>0</v>
      </c>
    </row>
    <row r="27" ht="15" customHeight="1" s="35">
      <c r="A27" s="2" t="n">
        <v>4220</v>
      </c>
      <c r="B27" s="2" t="n">
        <v>9</v>
      </c>
      <c r="C27" s="2" t="n">
        <v>1</v>
      </c>
    </row>
    <row r="28" ht="15" customHeight="1" s="35">
      <c r="A28" s="2" t="n">
        <v>4225</v>
      </c>
      <c r="B28" s="2" t="n">
        <v>15</v>
      </c>
      <c r="C28" s="2" t="n">
        <v>10</v>
      </c>
    </row>
    <row r="29" ht="15" customHeight="1" s="35">
      <c r="A29" s="2" t="n">
        <v>4230</v>
      </c>
      <c r="B29" s="2" t="n">
        <v>7</v>
      </c>
      <c r="C29" s="2" t="n">
        <v>0</v>
      </c>
    </row>
    <row r="30" ht="15" customHeight="1" s="35">
      <c r="A30" s="2" t="n">
        <v>4235</v>
      </c>
      <c r="B30" s="2" t="n">
        <v>8</v>
      </c>
      <c r="C30" s="2" t="n">
        <v>0</v>
      </c>
    </row>
    <row r="31" ht="15" customHeight="1" s="35">
      <c r="A31" s="2" t="n">
        <v>4240</v>
      </c>
      <c r="B31" s="2" t="n">
        <v>4</v>
      </c>
      <c r="C31" s="2" t="n">
        <v>0</v>
      </c>
    </row>
    <row r="32" ht="15" customHeight="1" s="35">
      <c r="A32" s="2" t="n">
        <v>4245</v>
      </c>
      <c r="B32" s="2" t="n">
        <v>2</v>
      </c>
      <c r="C32" s="2" t="n">
        <v>0</v>
      </c>
    </row>
    <row r="33" ht="15" customHeight="1" s="35">
      <c r="A33" s="2" t="n">
        <v>4250</v>
      </c>
      <c r="B33" s="2" t="n">
        <v>42</v>
      </c>
      <c r="C33" s="2" t="n">
        <v>5</v>
      </c>
    </row>
    <row r="34" ht="15" customHeight="1" s="35">
      <c r="A34" s="2" t="n">
        <v>4255</v>
      </c>
      <c r="B34" s="2" t="n">
        <v>1</v>
      </c>
      <c r="C34" s="2" t="n">
        <v>0</v>
      </c>
    </row>
    <row r="35" ht="15" customHeight="1" s="35">
      <c r="A35" s="2" t="n">
        <v>4260</v>
      </c>
      <c r="B35" s="2" t="n">
        <v>2</v>
      </c>
      <c r="C35" s="2" t="n">
        <v>0</v>
      </c>
    </row>
    <row r="36" ht="15" customHeight="1" s="35">
      <c r="A36" s="2" t="n">
        <v>4265</v>
      </c>
      <c r="B36" s="2" t="n">
        <v>1</v>
      </c>
      <c r="C36" s="2" t="n">
        <v>0</v>
      </c>
    </row>
    <row r="37" ht="15" customHeight="1" s="35">
      <c r="A37" s="2" t="n">
        <v>4270</v>
      </c>
      <c r="B37" s="2" t="n">
        <v>3</v>
      </c>
      <c r="C37" s="2" t="n">
        <v>0</v>
      </c>
    </row>
    <row r="38" ht="15" customHeight="1" s="35">
      <c r="A38" s="2" t="n">
        <v>4275</v>
      </c>
      <c r="B38" s="2" t="n">
        <v>9</v>
      </c>
      <c r="C38" s="2" t="n">
        <v>10</v>
      </c>
    </row>
    <row r="39" ht="15" customHeight="1" s="35">
      <c r="A39" s="2" t="n">
        <v>4280</v>
      </c>
      <c r="B39" s="2" t="n">
        <v>1</v>
      </c>
      <c r="C39" s="2" t="n">
        <v>0</v>
      </c>
    </row>
    <row r="40" ht="15" customHeight="1" s="35">
      <c r="A40" s="2" t="n">
        <v>4285</v>
      </c>
      <c r="B40" s="2" t="n">
        <v>0</v>
      </c>
      <c r="C40" s="2" t="n">
        <v>0</v>
      </c>
    </row>
    <row r="41" ht="15" customHeight="1" s="35">
      <c r="A41" s="2" t="n">
        <v>4290</v>
      </c>
      <c r="B41" s="2" t="n">
        <v>0</v>
      </c>
      <c r="C41" s="2" t="n">
        <v>0</v>
      </c>
    </row>
    <row r="42" ht="15" customHeight="1" s="35">
      <c r="A42" s="2" t="n">
        <v>4295</v>
      </c>
      <c r="B42" s="2" t="n">
        <v>0</v>
      </c>
      <c r="C42" s="2" t="n">
        <v>0</v>
      </c>
    </row>
    <row r="43" ht="15" customHeight="1" s="35">
      <c r="A43" s="2" t="n">
        <v>4300</v>
      </c>
      <c r="B43" s="2" t="n">
        <v>3</v>
      </c>
      <c r="C43" s="2" t="n">
        <v>1</v>
      </c>
    </row>
    <row r="44" ht="15" customHeight="1" s="35">
      <c r="A44" s="2" t="n">
        <v>4305</v>
      </c>
      <c r="B44" s="2" t="n">
        <v>0</v>
      </c>
      <c r="C44" s="2" t="n">
        <v>0</v>
      </c>
    </row>
    <row r="45" ht="15" customHeight="1" s="35">
      <c r="A45" s="2" t="n">
        <v>4310</v>
      </c>
      <c r="B45" s="2" t="n">
        <v>0</v>
      </c>
      <c r="C45" s="2" t="n">
        <v>0</v>
      </c>
    </row>
    <row r="46" ht="15" customHeight="1" s="35">
      <c r="A46" s="2" t="n">
        <v>4315</v>
      </c>
      <c r="B46" s="2" t="n">
        <v>0</v>
      </c>
      <c r="C46" s="2" t="n">
        <v>0</v>
      </c>
    </row>
    <row r="47" ht="15" customHeight="1" s="35">
      <c r="A47" s="2" t="n">
        <v>4320</v>
      </c>
      <c r="B47" s="2" t="n">
        <v>0</v>
      </c>
      <c r="C47" s="2" t="n">
        <v>0</v>
      </c>
    </row>
    <row r="48" ht="15" customHeight="1" s="35">
      <c r="A48" s="2" t="n">
        <v>4325</v>
      </c>
      <c r="B48" s="2" t="n">
        <v>0</v>
      </c>
      <c r="C48" s="2" t="n">
        <v>0</v>
      </c>
    </row>
    <row r="49" ht="15" customHeight="1" s="35">
      <c r="A49" s="2" t="n">
        <v>4330</v>
      </c>
      <c r="B49" s="2" t="n">
        <v>0</v>
      </c>
      <c r="C49" s="2" t="n">
        <v>0</v>
      </c>
    </row>
    <row r="50" ht="15" customHeight="1" s="35">
      <c r="A50" s="2" t="n">
        <v>4335</v>
      </c>
      <c r="B50" s="2" t="n">
        <v>0</v>
      </c>
      <c r="C50" s="2" t="n">
        <v>0</v>
      </c>
    </row>
    <row r="51" ht="15" customHeight="1" s="35">
      <c r="A51" s="2" t="n">
        <v>4340</v>
      </c>
      <c r="B51" s="2" t="n">
        <v>0</v>
      </c>
      <c r="C51" s="2" t="n">
        <v>0</v>
      </c>
    </row>
    <row r="52" ht="15" customHeight="1" s="35">
      <c r="A52" s="2" t="n">
        <v>4345</v>
      </c>
      <c r="B52" s="2" t="n">
        <v>0</v>
      </c>
      <c r="C52" s="2" t="n">
        <v>0</v>
      </c>
    </row>
    <row r="53" ht="15" customHeight="1" s="35">
      <c r="A53" s="2" t="n">
        <v>4350</v>
      </c>
      <c r="B53" s="2" t="n">
        <v>4</v>
      </c>
      <c r="C53" s="2" t="n">
        <v>0</v>
      </c>
    </row>
    <row r="54" ht="15" customHeight="1" s="35">
      <c r="A54" s="2" t="n">
        <v>4355</v>
      </c>
      <c r="B54" s="2" t="n">
        <v>0</v>
      </c>
      <c r="C54" s="2" t="n">
        <v>0</v>
      </c>
    </row>
    <row r="55" ht="15" customHeight="1" s="35">
      <c r="A55" s="2" t="n">
        <v>4360</v>
      </c>
      <c r="B55" s="2" t="n">
        <v>0</v>
      </c>
      <c r="C55" s="2" t="n">
        <v>0</v>
      </c>
    </row>
    <row r="56" ht="15" customHeight="1" s="35">
      <c r="A56" s="2" t="n">
        <v>4365</v>
      </c>
      <c r="B56" s="2" t="n">
        <v>0</v>
      </c>
      <c r="C56" s="2" t="n">
        <v>0</v>
      </c>
    </row>
    <row r="57" ht="15" customHeight="1" s="35">
      <c r="A57" s="2" t="n">
        <v>4370</v>
      </c>
      <c r="B57" s="2" t="n">
        <v>0</v>
      </c>
      <c r="C57" s="2" t="n">
        <v>0</v>
      </c>
    </row>
    <row r="58" ht="15" customHeight="1" s="35">
      <c r="A58" s="2" t="n">
        <v>4375</v>
      </c>
      <c r="B58" s="2" t="n">
        <v>1</v>
      </c>
      <c r="C58" s="2" t="n">
        <v>0</v>
      </c>
    </row>
    <row r="59" ht="15" customHeight="1" s="35">
      <c r="A59" s="2" t="n">
        <v>4380</v>
      </c>
      <c r="B59" s="2" t="n">
        <v>0</v>
      </c>
      <c r="C59" s="2" t="n">
        <v>0</v>
      </c>
    </row>
    <row r="60" ht="15" customHeight="1" s="35">
      <c r="A60" s="2" t="n">
        <v>4385</v>
      </c>
      <c r="B60" s="2" t="n">
        <v>0</v>
      </c>
      <c r="C60" s="2" t="n">
        <v>0</v>
      </c>
    </row>
    <row r="61" ht="15" customHeight="1" s="35">
      <c r="A61" s="2" t="n">
        <v>4390</v>
      </c>
      <c r="B61" s="2" t="n">
        <v>0</v>
      </c>
      <c r="C61" s="2" t="n">
        <v>0</v>
      </c>
    </row>
    <row r="62" ht="15" customHeight="1" s="35">
      <c r="A62" s="2" t="n">
        <v>4395</v>
      </c>
      <c r="B62" s="2" t="n">
        <v>0</v>
      </c>
      <c r="C62" s="2" t="n">
        <v>0</v>
      </c>
    </row>
    <row r="63" ht="15" customHeight="1" s="35">
      <c r="A63" s="2" t="n">
        <v>4400</v>
      </c>
      <c r="B63" s="2" t="n">
        <v>1</v>
      </c>
      <c r="C63" s="2" t="n">
        <v>0</v>
      </c>
    </row>
    <row r="64" ht="15" customHeight="1" s="35">
      <c r="A64" s="2" t="n">
        <v>4405</v>
      </c>
      <c r="B64" s="2" t="n">
        <v>0</v>
      </c>
      <c r="C64" s="2" t="n">
        <v>0</v>
      </c>
    </row>
    <row r="65" ht="15" customHeight="1" s="35">
      <c r="A65" s="2" t="n">
        <v>4410</v>
      </c>
      <c r="B65" s="2" t="n">
        <v>0</v>
      </c>
      <c r="C65" s="2" t="n">
        <v>0</v>
      </c>
    </row>
    <row r="66" ht="15" customHeight="1" s="35">
      <c r="A66" s="2" t="n">
        <v>4415</v>
      </c>
      <c r="B66" s="2" t="n">
        <v>0</v>
      </c>
      <c r="C66" s="2" t="n">
        <v>0</v>
      </c>
    </row>
    <row r="67">
      <c r="A67" s="2" t="n">
        <v>4420</v>
      </c>
      <c r="B67" s="2" t="n">
        <v>0</v>
      </c>
      <c r="C67" s="2" t="n">
        <v>0</v>
      </c>
    </row>
    <row r="68">
      <c r="A68" s="2" t="n">
        <v>4425</v>
      </c>
      <c r="B68" s="2" t="n">
        <v>0</v>
      </c>
      <c r="C68" s="2" t="n">
        <v>0</v>
      </c>
    </row>
    <row r="69">
      <c r="A69" s="2" t="n">
        <v>4430</v>
      </c>
      <c r="B69" s="2" t="n">
        <v>0</v>
      </c>
      <c r="C69" s="2" t="n">
        <v>0</v>
      </c>
    </row>
    <row r="70">
      <c r="A70" s="2" t="n">
        <v>4435</v>
      </c>
      <c r="B70" s="2" t="n">
        <v>0</v>
      </c>
      <c r="C70" s="2" t="n">
        <v>0</v>
      </c>
    </row>
    <row r="71">
      <c r="A71" s="2" t="n">
        <v>4440</v>
      </c>
      <c r="B71" s="2" t="n">
        <v>0</v>
      </c>
      <c r="C71" s="2" t="n">
        <v>0</v>
      </c>
    </row>
    <row r="72">
      <c r="A72" s="2" t="n">
        <v>4445</v>
      </c>
      <c r="B72" s="2" t="n">
        <v>0</v>
      </c>
      <c r="C72" s="2" t="n">
        <v>0</v>
      </c>
    </row>
    <row r="73">
      <c r="A73" s="2" t="n">
        <v>4450</v>
      </c>
      <c r="B73" s="2" t="n">
        <v>0</v>
      </c>
      <c r="C73" s="2" t="n">
        <v>0</v>
      </c>
    </row>
    <row r="74">
      <c r="A74" s="2" t="n">
        <v>4455</v>
      </c>
      <c r="B74" s="2" t="n">
        <v>0</v>
      </c>
      <c r="C74" s="2" t="n">
        <v>0</v>
      </c>
    </row>
    <row r="75">
      <c r="A75" s="2" t="n">
        <v>4460</v>
      </c>
      <c r="B75" s="2" t="n">
        <v>0</v>
      </c>
      <c r="C75" s="2" t="n">
        <v>0</v>
      </c>
    </row>
    <row r="76">
      <c r="A76" s="2" t="n">
        <v>4465</v>
      </c>
      <c r="B76" s="2" t="n">
        <v>0</v>
      </c>
      <c r="C76" s="2" t="n">
        <v>0</v>
      </c>
    </row>
    <row r="77">
      <c r="A77" s="2" t="n">
        <v>4470</v>
      </c>
      <c r="B77" s="2" t="n">
        <v>0</v>
      </c>
      <c r="C77" s="2" t="n">
        <v>0</v>
      </c>
    </row>
    <row r="78">
      <c r="A78" s="2" t="n">
        <v>4475</v>
      </c>
      <c r="B78" s="2" t="n">
        <v>0</v>
      </c>
      <c r="C78" s="2" t="n">
        <v>0</v>
      </c>
    </row>
    <row r="79">
      <c r="A79" s="2" t="n">
        <v>4480</v>
      </c>
      <c r="B79" s="2" t="n">
        <v>0</v>
      </c>
      <c r="C79" s="2" t="n">
        <v>0</v>
      </c>
    </row>
    <row r="80">
      <c r="A80" s="2" t="n">
        <v>4485</v>
      </c>
      <c r="B80" s="2" t="n">
        <v>0</v>
      </c>
      <c r="C80" s="2" t="n">
        <v>0</v>
      </c>
    </row>
    <row r="81">
      <c r="A81" s="2" t="n">
        <v>4490</v>
      </c>
      <c r="B81" s="2" t="n">
        <v>0</v>
      </c>
      <c r="C81" s="2" t="n">
        <v>0</v>
      </c>
    </row>
    <row r="82">
      <c r="A82" s="2" t="n">
        <v>4495</v>
      </c>
      <c r="B82" s="2" t="n">
        <v>0</v>
      </c>
      <c r="C82" s="2" t="n">
        <v>0</v>
      </c>
    </row>
    <row r="83">
      <c r="A83" s="2" t="n">
        <v>4500</v>
      </c>
      <c r="B83" s="2" t="n">
        <v>1</v>
      </c>
      <c r="C83" s="2" t="n">
        <v>0</v>
      </c>
    </row>
    <row r="84">
      <c r="A84" s="2" t="n">
        <v>4505</v>
      </c>
      <c r="B84" s="2" t="n">
        <v>0</v>
      </c>
      <c r="C84" s="2" t="n">
        <v>0</v>
      </c>
    </row>
    <row r="85">
      <c r="A85" s="2" t="n">
        <v>4510</v>
      </c>
      <c r="B85" s="2" t="n">
        <v>0</v>
      </c>
      <c r="C85" s="2" t="n">
        <v>0</v>
      </c>
    </row>
    <row r="86">
      <c r="A86" s="2" t="n">
        <v>4515</v>
      </c>
      <c r="B86" s="2" t="n">
        <v>0</v>
      </c>
      <c r="C86" s="2" t="n">
        <v>0</v>
      </c>
    </row>
    <row r="87">
      <c r="A87" s="2" t="n">
        <v>4520</v>
      </c>
      <c r="B87" s="2" t="n">
        <v>0</v>
      </c>
      <c r="C87" s="2" t="n">
        <v>0</v>
      </c>
    </row>
    <row r="88">
      <c r="A88" s="2" t="n">
        <v>4525</v>
      </c>
      <c r="B88" s="2" t="n">
        <v>0</v>
      </c>
      <c r="C88" s="2" t="n">
        <v>0</v>
      </c>
    </row>
    <row r="89">
      <c r="A89" s="2" t="n">
        <v>4530</v>
      </c>
      <c r="B89" s="2" t="n">
        <v>0</v>
      </c>
      <c r="C89" s="2" t="n">
        <v>0</v>
      </c>
    </row>
    <row r="90">
      <c r="A90" s="2" t="n">
        <v>4535</v>
      </c>
      <c r="B90" s="2" t="n">
        <v>0</v>
      </c>
      <c r="C90" s="2" t="n">
        <v>0</v>
      </c>
    </row>
    <row r="91">
      <c r="A91" s="2" t="n">
        <v>4540</v>
      </c>
      <c r="B91" s="2" t="n">
        <v>0</v>
      </c>
      <c r="C91" s="2" t="n">
        <v>0</v>
      </c>
    </row>
    <row r="92">
      <c r="A92" s="2" t="n">
        <v>4545</v>
      </c>
      <c r="B92" s="2" t="n">
        <v>0</v>
      </c>
      <c r="C92" s="2" t="n">
        <v>0</v>
      </c>
    </row>
    <row r="93">
      <c r="A93" s="2" t="n">
        <v>4550</v>
      </c>
      <c r="B93" s="2" t="n">
        <v>0</v>
      </c>
      <c r="C93" s="2" t="n">
        <v>0</v>
      </c>
    </row>
    <row r="94">
      <c r="A94" s="2" t="n">
        <v>4555</v>
      </c>
      <c r="B94" s="2" t="n">
        <v>0</v>
      </c>
      <c r="C94" s="2" t="n">
        <v>0</v>
      </c>
    </row>
    <row r="95">
      <c r="A95" s="2" t="n">
        <v>4560</v>
      </c>
      <c r="B95" s="2" t="n">
        <v>0</v>
      </c>
      <c r="C95" s="2" t="n">
        <v>0</v>
      </c>
    </row>
    <row r="96">
      <c r="A96" s="2" t="n">
        <v>4565</v>
      </c>
      <c r="B96" s="2" t="n">
        <v>0</v>
      </c>
      <c r="C96" s="2" t="n">
        <v>0</v>
      </c>
    </row>
    <row r="97">
      <c r="A97" s="2" t="n">
        <v>4570</v>
      </c>
      <c r="B97" s="2" t="n">
        <v>0</v>
      </c>
      <c r="C97" s="2" t="n">
        <v>0</v>
      </c>
    </row>
    <row r="98">
      <c r="A98" s="2" t="n">
        <v>4575</v>
      </c>
      <c r="B98" s="2" t="n">
        <v>0</v>
      </c>
      <c r="C98" s="2" t="n">
        <v>0</v>
      </c>
    </row>
    <row r="99">
      <c r="A99" s="2" t="n">
        <v>4580</v>
      </c>
      <c r="B99" s="2" t="n">
        <v>0</v>
      </c>
      <c r="C99" s="2" t="n">
        <v>0</v>
      </c>
    </row>
    <row r="100">
      <c r="A100" s="2" t="n">
        <v>4585</v>
      </c>
      <c r="B100" s="2" t="n">
        <v>0</v>
      </c>
      <c r="C100" s="2" t="n">
        <v>0</v>
      </c>
    </row>
    <row r="101">
      <c r="A101" s="2" t="n">
        <v>4590</v>
      </c>
      <c r="B101" s="2" t="n">
        <v>0</v>
      </c>
      <c r="C101" s="2" t="n">
        <v>0</v>
      </c>
    </row>
    <row r="102">
      <c r="A102" s="2" t="n">
        <v>4595</v>
      </c>
      <c r="B102" s="2" t="n">
        <v>0</v>
      </c>
      <c r="C102" s="2" t="n">
        <v>0</v>
      </c>
    </row>
    <row r="103">
      <c r="A103" s="2" t="n">
        <v>4600</v>
      </c>
      <c r="B103" s="2" t="n">
        <v>1</v>
      </c>
      <c r="C103" s="2" t="n">
        <v>0</v>
      </c>
    </row>
    <row r="104">
      <c r="A104" s="2" t="n">
        <v>4605</v>
      </c>
      <c r="B104" s="2" t="n">
        <v>0</v>
      </c>
      <c r="C104" s="2" t="n">
        <v>0</v>
      </c>
    </row>
    <row r="105">
      <c r="A105" s="2" t="n">
        <v>4610</v>
      </c>
      <c r="B105" s="2" t="n">
        <v>0</v>
      </c>
      <c r="C105" s="2" t="n">
        <v>0</v>
      </c>
    </row>
    <row r="106">
      <c r="A106" s="2" t="n">
        <v>4615</v>
      </c>
      <c r="B106" s="2" t="n">
        <v>0</v>
      </c>
      <c r="C106" s="2" t="n">
        <v>0</v>
      </c>
    </row>
    <row r="107">
      <c r="A107" s="2" t="n">
        <v>4620</v>
      </c>
      <c r="B107" s="2" t="n">
        <v>0</v>
      </c>
      <c r="C107" s="2" t="n">
        <v>0</v>
      </c>
    </row>
    <row r="108">
      <c r="A108" s="2" t="n">
        <v>4625</v>
      </c>
      <c r="B108" s="2" t="n">
        <v>1</v>
      </c>
      <c r="C108" s="2" t="n">
        <v>0</v>
      </c>
    </row>
    <row r="109">
      <c r="A109" s="2" t="n">
        <v>4650</v>
      </c>
      <c r="B109" s="2" t="n">
        <v>0</v>
      </c>
      <c r="C109" s="2" t="n">
        <v>0</v>
      </c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2"/>
  <sheetViews>
    <sheetView tabSelected="1" zoomScaleNormal="100" workbookViewId="0">
      <selection activeCell="J7" sqref="J7"/>
    </sheetView>
  </sheetViews>
  <sheetFormatPr baseColWidth="8" defaultColWidth="8.7109375" defaultRowHeight="15"/>
  <cols>
    <col width="10" customWidth="1" style="35" min="1" max="1"/>
    <col width="13" customWidth="1" style="35" min="2" max="2"/>
    <col width="15" customWidth="1" style="35" min="3" max="3"/>
    <col width="14" customWidth="1" style="35" min="4" max="5"/>
    <col width="12" customWidth="1" style="35" min="6" max="6"/>
    <col width="2" customWidth="1" style="35" min="7" max="7"/>
    <col hidden="1" width="13" customWidth="1" style="35" min="8" max="8"/>
    <col width="26" customWidth="1" style="35" min="9" max="9"/>
    <col width="22" customWidth="1" style="35" min="10" max="10"/>
    <col width="18" customWidth="1" style="35" min="28" max="28"/>
  </cols>
  <sheetData>
    <row r="1" ht="33.75" customHeight="1" s="35">
      <c r="A1" s="1" t="inlineStr">
        <is>
          <t>STRIKE</t>
        </is>
      </c>
      <c r="B1" s="1" t="inlineStr">
        <is>
          <t>NET GAMMA</t>
        </is>
      </c>
      <c r="C1" s="1" t="inlineStr">
        <is>
          <t>GROSS GAMMA</t>
        </is>
      </c>
      <c r="D1" s="1" t="inlineStr">
        <is>
          <t>ประเภท
(เกณฑ์ 1.5×)</t>
        </is>
      </c>
      <c r="E1" s="1" t="inlineStr">
        <is>
          <t>ความแรง</t>
        </is>
      </c>
      <c r="F1" s="1" t="inlineStr">
        <is>
          <t>โซน</t>
        </is>
      </c>
      <c r="I1" t="inlineStr">
        <is>
          <t>ข้อมูลวันที่ / สัญญา</t>
        </is>
      </c>
      <c r="J1" t="inlineStr">
        <is>
          <t>2026-10-06 G1WV6 (Week 1 - OCT 2026)</t>
        </is>
      </c>
      <c r="AB1" s="1" t="inlineStr">
        <is>
          <t>Pin score (ตัวช่วย)</t>
        </is>
      </c>
    </row>
    <row r="2" ht="15" customHeight="1" s="35">
      <c r="A2" s="3">
        <f>IF('Gamma Data'!A2="","",'Gamma Data'!A2)</f>
        <v/>
      </c>
      <c r="B2" s="3">
        <f>IF(A2="","",'Gamma Data'!B2-'Gamma Data'!C2)</f>
        <v/>
      </c>
      <c r="C2" s="3">
        <f>IF(A2="","",ABS('Gamma Data'!B2)+ABS('Gamma Data'!C2))</f>
        <v/>
      </c>
      <c r="D2" s="4">
        <f>IF(A2="","",IF(C2=0,"-",IF(AND('Gamma Data'!B2&gt;0,'Gamma Data'!B2&gt;='Gamma Data'!C2*1.5),"Call Wall",IF(AND('Gamma Data'!C2&gt;0,'Gamma Data'!C2&gt;='Gamma Data'!B2*1.5),"Put Wall","(mixed)"))))</f>
        <v/>
      </c>
      <c r="E2" s="5">
        <f>IF(OR(A2="",$J$12=0),"",C2/$J$12)</f>
        <v/>
      </c>
      <c r="F2" s="4">
        <f>IF(A2="","",IF(C2&gt;=2*$J$12,"จุดหนืด",IF(C2&lt;=0.5*$J$12,"air pocket","")))</f>
        <v/>
      </c>
      <c r="H2" s="6">
        <f>IF(AND(A2&gt;=$J$6,'Gamma Data'!B2&gt;0,'Gamma Data'!B2&gt;='Gamma Data'!C2*1.5),'Gamma Data'!B2,0)</f>
        <v/>
      </c>
      <c r="I2" s="7" t="inlineStr">
        <is>
          <t>รวม Call Gamma</t>
        </is>
      </c>
      <c r="J2" s="8">
        <f>SUM('Gamma Data'!$B$2:$B$152)</f>
        <v/>
      </c>
      <c r="AB2">
        <f>IF(NOT(ISNUMBER('Gamma Data'!A2)),"",IF((ABS('Gamma Data'!B2)+ABS('Gamma Data'!C2))=0,"",IF(OR(ABS('Gamma Data'!A2-$J$6)&gt;$J$6*$J$26,ABS('Gamma Data'!A2-$J$6)&lt;$J$28),"",(ABS('Gamma Data'!B2)+ABS('Gamma Data'!C2))/MAX(ABS('Gamma Data'!A2-$J$6)/($J$6*0.005),1)+ROW()/1000000000)))</f>
        <v/>
      </c>
    </row>
    <row r="3" ht="15" customHeight="1" s="35">
      <c r="A3" s="3">
        <f>IF('Gamma Data'!A3="","",'Gamma Data'!A3)</f>
        <v/>
      </c>
      <c r="B3" s="3">
        <f>IF(A3="","",'Gamma Data'!B3-'Gamma Data'!C3)</f>
        <v/>
      </c>
      <c r="C3" s="3">
        <f>IF(A3="","",ABS('Gamma Data'!B3)+ABS('Gamma Data'!C3))</f>
        <v/>
      </c>
      <c r="D3" s="4">
        <f>IF(A3="","",IF(C3=0,"-",IF(AND('Gamma Data'!B3&gt;0,'Gamma Data'!B3&gt;='Gamma Data'!C3*1.5),"Call Wall",IF(AND('Gamma Data'!C3&gt;0,'Gamma Data'!C3&gt;='Gamma Data'!B3*1.5),"Put Wall","(mixed)"))))</f>
        <v/>
      </c>
      <c r="E3" s="5">
        <f>IF(OR(A3="",$J$12=0),"",C3/$J$12)</f>
        <v/>
      </c>
      <c r="F3" s="4">
        <f>IF(A3="","",IF(C3&gt;=2*$J$12,"จุดหนืด",IF(C3&lt;=0.5*$J$12,"air pocket","")))</f>
        <v/>
      </c>
      <c r="H3" s="6">
        <f>IF(AND(A3&gt;=$J$6,'Gamma Data'!B3&gt;0,'Gamma Data'!B3&gt;='Gamma Data'!C3*1.5),'Gamma Data'!B3,0)</f>
        <v/>
      </c>
      <c r="I3" s="7" t="inlineStr">
        <is>
          <t>รวม Put Gamma</t>
        </is>
      </c>
      <c r="J3" s="8">
        <f>SUM('Gamma Data'!$C$2:$C$152)</f>
        <v/>
      </c>
      <c r="AB3">
        <f>IF(NOT(ISNUMBER('Gamma Data'!A3)),"",IF((ABS('Gamma Data'!B3)+ABS('Gamma Data'!C3))=0,"",IF(OR(ABS('Gamma Data'!A3-$J$6)&gt;$J$6*$J$26,ABS('Gamma Data'!A3-$J$6)&lt;$J$28),"",(ABS('Gamma Data'!B3)+ABS('Gamma Data'!C3))/MAX(ABS('Gamma Data'!A3-$J$6)/($J$6*0.005),1)+ROW()/1000000000)))</f>
        <v/>
      </c>
    </row>
    <row r="4" ht="15.75" customHeight="1" s="35">
      <c r="A4" s="3">
        <f>IF('Gamma Data'!A4="","",'Gamma Data'!A4)</f>
        <v/>
      </c>
      <c r="B4" s="3">
        <f>IF(A4="","",'Gamma Data'!B4-'Gamma Data'!C4)</f>
        <v/>
      </c>
      <c r="C4" s="3">
        <f>IF(A4="","",ABS('Gamma Data'!B4)+ABS('Gamma Data'!C4))</f>
        <v/>
      </c>
      <c r="D4" s="4">
        <f>IF(A4="","",IF(C4=0,"-",IF(AND('Gamma Data'!B4&gt;0,'Gamma Data'!B4&gt;='Gamma Data'!C4*1.5),"Call Wall",IF(AND('Gamma Data'!C4&gt;0,'Gamma Data'!C4&gt;='Gamma Data'!B4*1.5),"Put Wall","(mixed)"))))</f>
        <v/>
      </c>
      <c r="E4" s="5">
        <f>IF(OR(A4="",$J$12=0),"",C4/$J$12)</f>
        <v/>
      </c>
      <c r="F4" s="4">
        <f>IF(A4="","",IF(C4&gt;=2*$J$12,"จุดหนืด",IF(C4&lt;=0.5*$J$12,"air pocket","")))</f>
        <v/>
      </c>
      <c r="H4" s="6">
        <f>IF(AND(A4&gt;=$J$6,'Gamma Data'!B4&gt;0,'Gamma Data'!B4&gt;='Gamma Data'!C4*1.5),'Gamma Data'!B4,0)</f>
        <v/>
      </c>
      <c r="I4" s="7" t="inlineStr">
        <is>
          <t>NET GEX</t>
        </is>
      </c>
      <c r="J4" s="9">
        <f>J2-J3</f>
        <v/>
      </c>
      <c r="AB4">
        <f>IF(NOT(ISNUMBER('Gamma Data'!A4)),"",IF((ABS('Gamma Data'!B4)+ABS('Gamma Data'!C4))=0,"",IF(OR(ABS('Gamma Data'!A4-$J$6)&gt;$J$6*$J$26,ABS('Gamma Data'!A4-$J$6)&lt;$J$28),"",(ABS('Gamma Data'!B4)+ABS('Gamma Data'!C4))/MAX(ABS('Gamma Data'!A4-$J$6)/($J$6*0.005),1)+ROW()/1000000000)))</f>
        <v/>
      </c>
    </row>
    <row r="5" ht="15.75" customHeight="1" s="35">
      <c r="A5" s="3">
        <f>IF('Gamma Data'!A5="","",'Gamma Data'!A5)</f>
        <v/>
      </c>
      <c r="B5" s="3">
        <f>IF(A5="","",'Gamma Data'!B5-'Gamma Data'!C5)</f>
        <v/>
      </c>
      <c r="C5" s="3">
        <f>IF(A5="","",ABS('Gamma Data'!B5)+ABS('Gamma Data'!C5))</f>
        <v/>
      </c>
      <c r="D5" s="4">
        <f>IF(A5="","",IF(C5=0,"-",IF(AND('Gamma Data'!B5&gt;0,'Gamma Data'!B5&gt;='Gamma Data'!C5*1.5),"Call Wall",IF(AND('Gamma Data'!C5&gt;0,'Gamma Data'!C5&gt;='Gamma Data'!B5*1.5),"Put Wall","(mixed)"))))</f>
        <v/>
      </c>
      <c r="E5" s="5">
        <f>IF(OR(A5="",$J$12=0),"",C5/$J$12)</f>
        <v/>
      </c>
      <c r="F5" s="4">
        <f>IF(A5="","",IF(C5&gt;=2*$J$12,"จุดหนืด",IF(C5&lt;=0.5*$J$12,"air pocket","")))</f>
        <v/>
      </c>
      <c r="H5" s="6">
        <f>IF(AND(A5&gt;=$J$6,'Gamma Data'!B5&gt;0,'Gamma Data'!B5&gt;='Gamma Data'!C5*1.5),'Gamma Data'!B5,0)</f>
        <v/>
      </c>
      <c r="I5" s="7" t="inlineStr">
        <is>
          <t>สถานะ</t>
        </is>
      </c>
      <c r="J5" s="10">
        <f>IF(J18="","",IF(J18&lt;0.05,"ไม่มีโหมด",IF(J4&gt;0,"Positive GEX (นิ่ง)","Negative GEX (วิ่ง)")))</f>
        <v/>
      </c>
      <c r="AB5">
        <f>IF(NOT(ISNUMBER('Gamma Data'!A5)),"",IF((ABS('Gamma Data'!B5)+ABS('Gamma Data'!C5))=0,"",IF(OR(ABS('Gamma Data'!A5-$J$6)&gt;$J$6*$J$26,ABS('Gamma Data'!A5-$J$6)&lt;$J$28),"",(ABS('Gamma Data'!B5)+ABS('Gamma Data'!C5))/MAX(ABS('Gamma Data'!A5-$J$6)/($J$6*0.005),1)+ROW()/1000000000)))</f>
        <v/>
      </c>
    </row>
    <row r="6" ht="15" customHeight="1" s="35">
      <c r="A6" s="3">
        <f>IF('Gamma Data'!A6="","",'Gamma Data'!A6)</f>
        <v/>
      </c>
      <c r="B6" s="3">
        <f>IF(A6="","",'Gamma Data'!B6-'Gamma Data'!C6)</f>
        <v/>
      </c>
      <c r="C6" s="3">
        <f>IF(A6="","",ABS('Gamma Data'!B6)+ABS('Gamma Data'!C6))</f>
        <v/>
      </c>
      <c r="D6" s="4">
        <f>IF(A6="","",IF(C6=0,"-",IF(AND('Gamma Data'!B6&gt;0,'Gamma Data'!B6&gt;='Gamma Data'!C6*1.5),"Call Wall",IF(AND('Gamma Data'!C6&gt;0,'Gamma Data'!C6&gt;='Gamma Data'!B6*1.5),"Put Wall","(mixed)"))))</f>
        <v/>
      </c>
      <c r="E6" s="5">
        <f>IF(OR(A6="",$J$12=0),"",C6/$J$12)</f>
        <v/>
      </c>
      <c r="F6" s="4">
        <f>IF(A6="","",IF(C6&gt;=2*$J$12,"จุดหนืด",IF(C6&lt;=0.5*$J$12,"air pocket","")))</f>
        <v/>
      </c>
      <c r="H6" s="6">
        <f>IF(AND(A6&gt;=$J$6,'Gamma Data'!B6&gt;0,'Gamma Data'!B6&gt;='Gamma Data'!C6*1.5),'Gamma Data'!B6,0)</f>
        <v/>
      </c>
      <c r="I6" s="7" t="inlineStr">
        <is>
          <t>ราคาปัจจุบัน (กรอกเอง)</t>
        </is>
      </c>
      <c r="J6" s="11" t="n">
        <v>4158.9</v>
      </c>
      <c r="AB6">
        <f>IF(NOT(ISNUMBER('Gamma Data'!A6)),"",IF((ABS('Gamma Data'!B6)+ABS('Gamma Data'!C6))=0,"",IF(OR(ABS('Gamma Data'!A6-$J$6)&gt;$J$6*$J$26,ABS('Gamma Data'!A6-$J$6)&lt;$J$28),"",(ABS('Gamma Data'!B6)+ABS('Gamma Data'!C6))/MAX(ABS('Gamma Data'!A6-$J$6)/($J$6*0.005),1)+ROW()/1000000000)))</f>
        <v/>
      </c>
    </row>
    <row r="7" ht="15" customHeight="1" s="35">
      <c r="A7" s="3">
        <f>IF('Gamma Data'!A7="","",'Gamma Data'!A7)</f>
        <v/>
      </c>
      <c r="B7" s="3">
        <f>IF(A7="","",'Gamma Data'!B7-'Gamma Data'!C7)</f>
        <v/>
      </c>
      <c r="C7" s="3">
        <f>IF(A7="","",ABS('Gamma Data'!B7)+ABS('Gamma Data'!C7))</f>
        <v/>
      </c>
      <c r="D7" s="4">
        <f>IF(A7="","",IF(C7=0,"-",IF(AND('Gamma Data'!B7&gt;0,'Gamma Data'!B7&gt;='Gamma Data'!C7*1.5),"Call Wall",IF(AND('Gamma Data'!C7&gt;0,'Gamma Data'!C7&gt;='Gamma Data'!B7*1.5),"Put Wall","(mixed)"))))</f>
        <v/>
      </c>
      <c r="E7" s="5">
        <f>IF(OR(A7="",$J$12=0),"",C7/$J$12)</f>
        <v/>
      </c>
      <c r="F7" s="4">
        <f>IF(A7="","",IF(C7&gt;=2*$J$12,"จุดหนืด",IF(C7&lt;=0.5*$J$12,"air pocket","")))</f>
        <v/>
      </c>
      <c r="H7" s="6">
        <f>IF(AND(A7&gt;=$J$6,'Gamma Data'!B7&gt;0,'Gamma Data'!B7&gt;='Gamma Data'!C7*1.5),'Gamma Data'!B7,0)</f>
        <v/>
      </c>
      <c r="I7" s="6">
        <f>IF(AND(A7&lt;=$J$6,'Gamma Data'!C7&gt;0,'Gamma Data'!C7&gt;='Gamma Data'!B7*1.5),'Gamma Data'!C7,0)</f>
        <v/>
      </c>
      <c r="AB7">
        <f>IF(NOT(ISNUMBER('Gamma Data'!A7)),"",IF((ABS('Gamma Data'!B7)+ABS('Gamma Data'!C7))=0,"",IF(OR(ABS('Gamma Data'!A7-$J$6)&gt;$J$6*$J$26,ABS('Gamma Data'!A7-$J$6)&lt;$J$28),"",(ABS('Gamma Data'!B7)+ABS('Gamma Data'!C7))/MAX(ABS('Gamma Data'!A7-$J$6)/($J$6*0.005),1)+ROW()/1000000000)))</f>
        <v/>
      </c>
    </row>
    <row r="8" ht="15" customHeight="1" s="35">
      <c r="A8" s="3">
        <f>IF('Gamma Data'!A8="","",'Gamma Data'!A8)</f>
        <v/>
      </c>
      <c r="B8" s="3">
        <f>IF(A8="","",'Gamma Data'!B8-'Gamma Data'!C8)</f>
        <v/>
      </c>
      <c r="C8" s="3">
        <f>IF(A8="","",ABS('Gamma Data'!B8)+ABS('Gamma Data'!C8))</f>
        <v/>
      </c>
      <c r="D8" s="4">
        <f>IF(A8="","",IF(C8=0,"-",IF(AND('Gamma Data'!B8&gt;0,'Gamma Data'!B8&gt;='Gamma Data'!C8*1.5),"Call Wall",IF(AND('Gamma Data'!C8&gt;0,'Gamma Data'!C8&gt;='Gamma Data'!B8*1.5),"Put Wall","(mixed)"))))</f>
        <v/>
      </c>
      <c r="E8" s="5">
        <f>IF(OR(A8="",$J$12=0),"",C8/$J$12)</f>
        <v/>
      </c>
      <c r="F8" s="4">
        <f>IF(A8="","",IF(C8&gt;=2*$J$12,"จุดหนืด",IF(C8&lt;=0.5*$J$12,"air pocket","")))</f>
        <v/>
      </c>
      <c r="H8" s="6">
        <f>IF(AND(A8&gt;=$J$6,'Gamma Data'!B8&gt;0,'Gamma Data'!B8&gt;='Gamma Data'!C8*1.5),'Gamma Data'!B8,0)</f>
        <v/>
      </c>
      <c r="I8" s="7" t="inlineStr">
        <is>
          <t>── ระดับสำคัญ (เกณฑ์ 1.5×) ──</t>
        </is>
      </c>
      <c r="AB8">
        <f>IF(NOT(ISNUMBER('Gamma Data'!A8)),"",IF((ABS('Gamma Data'!B8)+ABS('Gamma Data'!C8))=0,"",IF(OR(ABS('Gamma Data'!A8-$J$6)&gt;$J$6*$J$26,ABS('Gamma Data'!A8-$J$6)&lt;$J$28),"",(ABS('Gamma Data'!B8)+ABS('Gamma Data'!C8))/MAX(ABS('Gamma Data'!A8-$J$6)/($J$6*0.005),1)+ROW()/1000000000)))</f>
        <v/>
      </c>
    </row>
    <row r="9" ht="15" customHeight="1" s="35">
      <c r="A9" s="3">
        <f>IF('Gamma Data'!A9="","",'Gamma Data'!A9)</f>
        <v/>
      </c>
      <c r="B9" s="3">
        <f>IF(A9="","",'Gamma Data'!B9-'Gamma Data'!C9)</f>
        <v/>
      </c>
      <c r="C9" s="3">
        <f>IF(A9="","",ABS('Gamma Data'!B9)+ABS('Gamma Data'!C9))</f>
        <v/>
      </c>
      <c r="D9" s="4">
        <f>IF(A9="","",IF(C9=0,"-",IF(AND('Gamma Data'!B9&gt;0,'Gamma Data'!B9&gt;='Gamma Data'!C9*1.5),"Call Wall",IF(AND('Gamma Data'!C9&gt;0,'Gamma Data'!C9&gt;='Gamma Data'!B9*1.5),"Put Wall","(mixed)"))))</f>
        <v/>
      </c>
      <c r="E9" s="5">
        <f>IF(OR(A9="",$J$12=0),"",C9/$J$12)</f>
        <v/>
      </c>
      <c r="F9" s="4">
        <f>IF(A9="","",IF(C9&gt;=2*$J$12,"จุดหนืด",IF(C9&lt;=0.5*$J$12,"air pocket","")))</f>
        <v/>
      </c>
      <c r="H9" s="6">
        <f>IF(AND(A9&gt;=$J$6,'Gamma Data'!B9&gt;0,'Gamma Data'!B9&gt;='Gamma Data'!C9*1.5),'Gamma Data'!B9,0)</f>
        <v/>
      </c>
      <c r="I9" s="7" t="inlineStr">
        <is>
          <t>Call Wall</t>
        </is>
      </c>
      <c r="J9" s="12">
        <f t="array" ref="J9">IFERROR(INDEX('Gamma Data'!$A$2:$A$152,MATCH(MAX(IF(('Gamma Data'!$A$2:$A$152&gt;=$J$6)*('Gamma Data'!$B$2:$B$152&gt;0)*('Gamma Data'!$B$2:$B$152&gt;='Gamma Data'!$C$2:$C$152*1.5),'Gamma Data'!$B$2:$B$152)),IF(('Gamma Data'!$A$2:$A$152&gt;=$J$6)*('Gamma Data'!$B$2:$B$152&gt;0)*('Gamma Data'!$B$2:$B$152&gt;='Gamma Data'!$C$2:$C$152*1.5),'Gamma Data'!$B$2:$B$152),0)),"ไม่มี strike ที่ผ่านเกณฑ์")</f>
        <v/>
      </c>
      <c r="AB9">
        <f>IF(NOT(ISNUMBER('Gamma Data'!A9)),"",IF((ABS('Gamma Data'!B9)+ABS('Gamma Data'!C9))=0,"",IF(OR(ABS('Gamma Data'!A9-$J$6)&gt;$J$6*$J$26,ABS('Gamma Data'!A9-$J$6)&lt;$J$28),"",(ABS('Gamma Data'!B9)+ABS('Gamma Data'!C9))/MAX(ABS('Gamma Data'!A9-$J$6)/($J$6*0.005),1)+ROW()/1000000000)))</f>
        <v/>
      </c>
    </row>
    <row r="10" ht="15" customHeight="1" s="35">
      <c r="A10" s="3">
        <f>IF('Gamma Data'!A10="","",'Gamma Data'!A10)</f>
        <v/>
      </c>
      <c r="B10" s="3">
        <f>IF(A10="","",'Gamma Data'!B10-'Gamma Data'!C10)</f>
        <v/>
      </c>
      <c r="C10" s="3">
        <f>IF(A10="","",ABS('Gamma Data'!B10)+ABS('Gamma Data'!C10))</f>
        <v/>
      </c>
      <c r="D10" s="4">
        <f>IF(A10="","",IF(C10=0,"-",IF(AND('Gamma Data'!B10&gt;0,'Gamma Data'!B10&gt;='Gamma Data'!C10*1.5),"Call Wall",IF(AND('Gamma Data'!C10&gt;0,'Gamma Data'!C10&gt;='Gamma Data'!B10*1.5),"Put Wall","(mixed)"))))</f>
        <v/>
      </c>
      <c r="E10" s="5">
        <f>IF(OR(A10="",$J$12=0),"",C10/$J$12)</f>
        <v/>
      </c>
      <c r="F10" s="4">
        <f>IF(A10="","",IF(C10&gt;=2*$J$12,"จุดหนืด",IF(C10&lt;=0.5*$J$12,"air pocket","")))</f>
        <v/>
      </c>
      <c r="H10" s="6">
        <f>IF(AND(A10&gt;=$J$6,'Gamma Data'!B10&gt;0,'Gamma Data'!B10&gt;='Gamma Data'!C10*1.5),'Gamma Data'!B10,0)</f>
        <v/>
      </c>
      <c r="I10" s="7" t="inlineStr">
        <is>
          <t>Put Wall</t>
        </is>
      </c>
      <c r="J10" s="13">
        <f t="array" ref="J10">IFERROR(INDEX('Gamma Data'!$A$2:$A$152,MATCH(MAX(IF(('Gamma Data'!$A$2:$A$152&lt;=$J$6)*('Gamma Data'!$C$2:$C$152&gt;0)*('Gamma Data'!$C$2:$C$152&gt;='Gamma Data'!$B$2:$B$152*1.5),'Gamma Data'!$C$2:$C$152)),IF(('Gamma Data'!$A$2:$A$152&lt;=$J$6)*('Gamma Data'!$C$2:$C$152&gt;0)*('Gamma Data'!$C$2:$C$152&gt;='Gamma Data'!$B$2:$B$152*1.5),'Gamma Data'!$C$2:$C$152),0)),"ไม่มี strike ที่ผ่านเกณฑ์")</f>
        <v/>
      </c>
      <c r="AB10">
        <f>IF(NOT(ISNUMBER('Gamma Data'!A10)),"",IF((ABS('Gamma Data'!B10)+ABS('Gamma Data'!C10))=0,"",IF(OR(ABS('Gamma Data'!A10-$J$6)&gt;$J$6*$J$26,ABS('Gamma Data'!A10-$J$6)&lt;$J$28),"",(ABS('Gamma Data'!B10)+ABS('Gamma Data'!C10))/MAX(ABS('Gamma Data'!A10-$J$6)/($J$6*0.005),1)+ROW()/1000000000)))</f>
        <v/>
      </c>
    </row>
    <row r="11" ht="15" customHeight="1" s="35">
      <c r="A11" s="3">
        <f>IF('Gamma Data'!A11="","",'Gamma Data'!A11)</f>
        <v/>
      </c>
      <c r="B11" s="3">
        <f>IF(A11="","",'Gamma Data'!B11-'Gamma Data'!C11)</f>
        <v/>
      </c>
      <c r="C11" s="3">
        <f>IF(A11="","",ABS('Gamma Data'!B11)+ABS('Gamma Data'!C11))</f>
        <v/>
      </c>
      <c r="D11" s="4">
        <f>IF(A11="","",IF(C11=0,"-",IF(AND('Gamma Data'!B11&gt;0,'Gamma Data'!B11&gt;='Gamma Data'!C11*1.5),"Call Wall",IF(AND('Gamma Data'!C11&gt;0,'Gamma Data'!C11&gt;='Gamma Data'!B11*1.5),"Put Wall","(mixed)"))))</f>
        <v/>
      </c>
      <c r="E11" s="5">
        <f>IF(OR(A11="",$J$12=0),"",C11/$J$12)</f>
        <v/>
      </c>
      <c r="F11" s="4">
        <f>IF(A11="","",IF(C11&gt;=2*$J$12,"จุดหนืด",IF(C11&lt;=0.5*$J$12,"air pocket","")))</f>
        <v/>
      </c>
      <c r="H11" s="6">
        <f>IF(AND(A11&gt;=$J$6,'Gamma Data'!B11&gt;0,'Gamma Data'!B11&gt;='Gamma Data'!C11*1.5),'Gamma Data'!B11,0)</f>
        <v/>
      </c>
      <c r="I11" s="7" t="inlineStr">
        <is>
          <t>Gross สูงสุด (จุดหนืดที่สุด)</t>
        </is>
      </c>
      <c r="J11" s="14">
        <f t="array" ref="J11">INDEX('Gamma Data'!$A$2:$A$152,MATCH(MAX(ABS('Gamma Data'!$B$2:$B$152)+ABS('Gamma Data'!$C$2:$C$152)),ABS('Gamma Data'!$B$2:$B$152)+ABS('Gamma Data'!$C$2:$C$152),0))</f>
        <v/>
      </c>
      <c r="AB11">
        <f>IF(NOT(ISNUMBER('Gamma Data'!A11)),"",IF((ABS('Gamma Data'!B11)+ABS('Gamma Data'!C11))=0,"",IF(OR(ABS('Gamma Data'!A11-$J$6)&gt;$J$6*$J$26,ABS('Gamma Data'!A11-$J$6)&lt;$J$28),"",(ABS('Gamma Data'!B11)+ABS('Gamma Data'!C11))/MAX(ABS('Gamma Data'!A11-$J$6)/($J$6*0.005),1)+ROW()/1000000000)))</f>
        <v/>
      </c>
    </row>
    <row r="12" ht="15" customHeight="1" s="35">
      <c r="A12" s="3">
        <f>IF('Gamma Data'!A12="","",'Gamma Data'!A12)</f>
        <v/>
      </c>
      <c r="B12" s="3">
        <f>IF(A12="","",'Gamma Data'!B12-'Gamma Data'!C12)</f>
        <v/>
      </c>
      <c r="C12" s="3">
        <f>IF(A12="","",ABS('Gamma Data'!B12)+ABS('Gamma Data'!C12))</f>
        <v/>
      </c>
      <c r="D12" s="4">
        <f>IF(A12="","",IF(C12=0,"-",IF(AND('Gamma Data'!B12&gt;0,'Gamma Data'!B12&gt;='Gamma Data'!C12*1.5),"Call Wall",IF(AND('Gamma Data'!C12&gt;0,'Gamma Data'!C12&gt;='Gamma Data'!B12*1.5),"Put Wall","(mixed)"))))</f>
        <v/>
      </c>
      <c r="E12" s="5">
        <f>IF(OR(A12="",$J$12=0),"",C12/$J$12)</f>
        <v/>
      </c>
      <c r="F12" s="4">
        <f>IF(A12="","",IF(C12&gt;=2*$J$12,"จุดหนืด",IF(C12&lt;=0.5*$J$12,"air pocket","")))</f>
        <v/>
      </c>
      <c r="H12" s="6">
        <f>IF(AND(A12&gt;=$J$6,'Gamma Data'!B12&gt;0,'Gamma Data'!B12&gt;='Gamma Data'!C12*1.5),'Gamma Data'!B12,0)</f>
        <v/>
      </c>
      <c r="I12" s="7" t="inlineStr">
        <is>
          <t>ค่ากลาง Gross</t>
        </is>
      </c>
      <c r="J12" s="15">
        <f t="array" ref="J12">MEDIAN(IF(ISNUMBER('Gamma Data'!$A$2:$A$152),ABS('Gamma Data'!$B$2:$B$152)+ABS('Gamma Data'!$C$2:$C$152)))</f>
        <v/>
      </c>
      <c r="AB12">
        <f>IF(NOT(ISNUMBER('Gamma Data'!A12)),"",IF((ABS('Gamma Data'!B12)+ABS('Gamma Data'!C12))=0,"",IF(OR(ABS('Gamma Data'!A12-$J$6)&gt;$J$6*$J$26,ABS('Gamma Data'!A12-$J$6)&lt;$J$28),"",(ABS('Gamma Data'!B12)+ABS('Gamma Data'!C12))/MAX(ABS('Gamma Data'!A12-$J$6)/($J$6*0.005),1)+ROW()/1000000000)))</f>
        <v/>
      </c>
    </row>
    <row r="13" ht="15" customHeight="1" s="35">
      <c r="A13" s="3">
        <f>IF('Gamma Data'!A13="","",'Gamma Data'!A13)</f>
        <v/>
      </c>
      <c r="B13" s="3">
        <f>IF(A13="","",'Gamma Data'!B13-'Gamma Data'!C13)</f>
        <v/>
      </c>
      <c r="C13" s="3">
        <f>IF(A13="","",ABS('Gamma Data'!B13)+ABS('Gamma Data'!C13))</f>
        <v/>
      </c>
      <c r="D13" s="4">
        <f>IF(A13="","",IF(C13=0,"-",IF(AND('Gamma Data'!B13&gt;0,'Gamma Data'!B13&gt;='Gamma Data'!C13*1.5),"Call Wall",IF(AND('Gamma Data'!C13&gt;0,'Gamma Data'!C13&gt;='Gamma Data'!B13*1.5),"Put Wall","(mixed)"))))</f>
        <v/>
      </c>
      <c r="E13" s="5">
        <f>IF(OR(A13="",$J$12=0),"",C13/$J$12)</f>
        <v/>
      </c>
      <c r="F13" s="4">
        <f>IF(A13="","",IF(C13&gt;=2*$J$12,"จุดหนืด",IF(C13&lt;=0.5*$J$12,"air pocket","")))</f>
        <v/>
      </c>
      <c r="H13" s="6">
        <f>IF(AND(A13&gt;=$J$6,'Gamma Data'!B13&gt;0,'Gamma Data'!B13&gt;='Gamma Data'!C13*1.5),'Gamma Data'!B13,0)</f>
        <v/>
      </c>
      <c r="I13" s="6">
        <f>IF(AND(A13&lt;=$J$6,'Gamma Data'!C13&gt;0,'Gamma Data'!C13&gt;='Gamma Data'!B13*1.5),'Gamma Data'!C13,0)</f>
        <v/>
      </c>
      <c r="AB13">
        <f>IF(NOT(ISNUMBER('Gamma Data'!A13)),"",IF((ABS('Gamma Data'!B13)+ABS('Gamma Data'!C13))=0,"",IF(OR(ABS('Gamma Data'!A13-$J$6)&gt;$J$6*$J$26,ABS('Gamma Data'!A13-$J$6)&lt;$J$28),"",(ABS('Gamma Data'!B13)+ABS('Gamma Data'!C13))/MAX(ABS('Gamma Data'!A13-$J$6)/($J$6*0.005),1)+ROW()/1000000000)))</f>
        <v/>
      </c>
    </row>
    <row r="14" ht="15" customHeight="1" s="35">
      <c r="A14" s="3">
        <f>IF('Gamma Data'!A14="","",'Gamma Data'!A14)</f>
        <v/>
      </c>
      <c r="B14" s="3">
        <f>IF(A14="","",'Gamma Data'!B14-'Gamma Data'!C14)</f>
        <v/>
      </c>
      <c r="C14" s="3">
        <f>IF(A14="","",ABS('Gamma Data'!B14)+ABS('Gamma Data'!C14))</f>
        <v/>
      </c>
      <c r="D14" s="4">
        <f>IF(A14="","",IF(C14=0,"-",IF(AND('Gamma Data'!B14&gt;0,'Gamma Data'!B14&gt;='Gamma Data'!C14*1.5),"Call Wall",IF(AND('Gamma Data'!C14&gt;0,'Gamma Data'!C14&gt;='Gamma Data'!B14*1.5),"Put Wall","(mixed)"))))</f>
        <v/>
      </c>
      <c r="E14" s="5">
        <f>IF(OR(A14="",$J$12=0),"",C14/$J$12)</f>
        <v/>
      </c>
      <c r="F14" s="4">
        <f>IF(A14="","",IF(C14&gt;=2*$J$12,"จุดหนืด",IF(C14&lt;=0.5*$J$12,"air pocket","")))</f>
        <v/>
      </c>
      <c r="H14" s="6">
        <f>IF(AND(A14&gt;=$J$6,'Gamma Data'!B14&gt;0,'Gamma Data'!B14&gt;='Gamma Data'!C14*1.5),'Gamma Data'!B14,0)</f>
        <v/>
      </c>
      <c r="I14" s="7" t="inlineStr">
        <is>
          <t>── ตรวจความครบของข้อมูล ──</t>
        </is>
      </c>
      <c r="AB14">
        <f>IF(NOT(ISNUMBER('Gamma Data'!A14)),"",IF((ABS('Gamma Data'!B14)+ABS('Gamma Data'!C14))=0,"",IF(OR(ABS('Gamma Data'!A14-$J$6)&gt;$J$6*$J$26,ABS('Gamma Data'!A14-$J$6)&lt;$J$28),"",(ABS('Gamma Data'!B14)+ABS('Gamma Data'!C14))/MAX(ABS('Gamma Data'!A14-$J$6)/($J$6*0.005),1)+ROW()/1000000000)))</f>
        <v/>
      </c>
    </row>
    <row r="15" ht="15" customHeight="1" s="35">
      <c r="A15" s="3">
        <f>IF('Gamma Data'!A15="","",'Gamma Data'!A15)</f>
        <v/>
      </c>
      <c r="B15" s="3">
        <f>IF(A15="","",'Gamma Data'!B15-'Gamma Data'!C15)</f>
        <v/>
      </c>
      <c r="C15" s="3">
        <f>IF(A15="","",ABS('Gamma Data'!B15)+ABS('Gamma Data'!C15))</f>
        <v/>
      </c>
      <c r="D15" s="4">
        <f>IF(A15="","",IF(C15=0,"-",IF(AND('Gamma Data'!B15&gt;0,'Gamma Data'!B15&gt;='Gamma Data'!C15*1.5),"Call Wall",IF(AND('Gamma Data'!C15&gt;0,'Gamma Data'!C15&gt;='Gamma Data'!B15*1.5),"Put Wall","(mixed)"))))</f>
        <v/>
      </c>
      <c r="E15" s="5">
        <f>IF(OR(A15="",$J$12=0),"",C15/$J$12)</f>
        <v/>
      </c>
      <c r="F15" s="4">
        <f>IF(A15="","",IF(C15&gt;=2*$J$12,"จุดหนืด",IF(C15&lt;=0.5*$J$12,"air pocket","")))</f>
        <v/>
      </c>
      <c r="H15" s="6">
        <f>IF(AND(A15&gt;=$J$6,'Gamma Data'!B15&gt;0,'Gamma Data'!B15&gt;='Gamma Data'!C15*1.5),'Gamma Data'!B15,0)</f>
        <v/>
      </c>
      <c r="I15" s="7" t="inlineStr">
        <is>
          <t>ขอบบนเป็น 0?</t>
        </is>
      </c>
      <c r="J15" s="16">
        <f>IF(AND('Gamma Data'!B2=0,'Gamma Data'!C2=0),"ครบ","ยังไม่ครบ - ขยาย Strikes")</f>
        <v/>
      </c>
      <c r="AB15">
        <f>IF(NOT(ISNUMBER('Gamma Data'!A15)),"",IF((ABS('Gamma Data'!B15)+ABS('Gamma Data'!C15))=0,"",IF(OR(ABS('Gamma Data'!A15-$J$6)&gt;$J$6*$J$26,ABS('Gamma Data'!A15-$J$6)&lt;$J$28),"",(ABS('Gamma Data'!B15)+ABS('Gamma Data'!C15))/MAX(ABS('Gamma Data'!A15-$J$6)/($J$6*0.005),1)+ROW()/1000000000)))</f>
        <v/>
      </c>
    </row>
    <row r="16" ht="15" customHeight="1" s="35">
      <c r="A16" s="3">
        <f>IF('Gamma Data'!A16="","",'Gamma Data'!A16)</f>
        <v/>
      </c>
      <c r="B16" s="3">
        <f>IF(A16="","",'Gamma Data'!B16-'Gamma Data'!C16)</f>
        <v/>
      </c>
      <c r="C16" s="3">
        <f>IF(A16="","",ABS('Gamma Data'!B16)+ABS('Gamma Data'!C16))</f>
        <v/>
      </c>
      <c r="D16" s="4">
        <f>IF(A16="","",IF(C16=0,"-",IF(AND('Gamma Data'!B16&gt;0,'Gamma Data'!B16&gt;='Gamma Data'!C16*1.5),"Call Wall",IF(AND('Gamma Data'!C16&gt;0,'Gamma Data'!C16&gt;='Gamma Data'!B16*1.5),"Put Wall","(mixed)"))))</f>
        <v/>
      </c>
      <c r="E16" s="5">
        <f>IF(OR(A16="",$J$12=0),"",C16/$J$12)</f>
        <v/>
      </c>
      <c r="F16" s="4">
        <f>IF(A16="","",IF(C16&gt;=2*$J$12,"จุดหนืด",IF(C16&lt;=0.5*$J$12,"air pocket","")))</f>
        <v/>
      </c>
      <c r="H16" s="6">
        <f>IF(AND(A16&gt;=$J$6,'Gamma Data'!B16&gt;0,'Gamma Data'!B16&gt;='Gamma Data'!C16*1.5),'Gamma Data'!B16,0)</f>
        <v/>
      </c>
      <c r="I16" s="7" t="inlineStr">
        <is>
          <t>ขอบล่างเป็น 0?</t>
        </is>
      </c>
      <c r="J16" s="16">
        <f>IF(AND(INDEX('Gamma Data'!$B$2:$B$152,COUNT('Gamma Data'!$A$2:$A$152))=0,INDEX('Gamma Data'!$C$2:$C$152,COUNT('Gamma Data'!$A$2:$A$152))=0),"ครบ","ยังไม่ครบ - ขยาย Strikes")</f>
        <v/>
      </c>
      <c r="AB16">
        <f>IF(NOT(ISNUMBER('Gamma Data'!A16)),"",IF((ABS('Gamma Data'!B16)+ABS('Gamma Data'!C16))=0,"",IF(OR(ABS('Gamma Data'!A16-$J$6)&gt;$J$6*$J$26,ABS('Gamma Data'!A16-$J$6)&lt;$J$28),"",(ABS('Gamma Data'!B16)+ABS('Gamma Data'!C16))/MAX(ABS('Gamma Data'!A16-$J$6)/($J$6*0.005),1)+ROW()/1000000000)))</f>
        <v/>
      </c>
    </row>
    <row r="17" ht="15" customHeight="1" s="35">
      <c r="A17" s="3">
        <f>IF('Gamma Data'!A17="","",'Gamma Data'!A17)</f>
        <v/>
      </c>
      <c r="B17" s="3">
        <f>IF(A17="","",'Gamma Data'!B17-'Gamma Data'!C17)</f>
        <v/>
      </c>
      <c r="C17" s="3">
        <f>IF(A17="","",ABS('Gamma Data'!B17)+ABS('Gamma Data'!C17))</f>
        <v/>
      </c>
      <c r="D17" s="4">
        <f>IF(A17="","",IF(C17=0,"-",IF(AND('Gamma Data'!B17&gt;0,'Gamma Data'!B17&gt;='Gamma Data'!C17*1.5),"Call Wall",IF(AND('Gamma Data'!C17&gt;0,'Gamma Data'!C17&gt;='Gamma Data'!B17*1.5),"Put Wall","(mixed)"))))</f>
        <v/>
      </c>
      <c r="E17" s="5">
        <f>IF(OR(A17="",$J$12=0),"",C17/$J$12)</f>
        <v/>
      </c>
      <c r="F17" s="4">
        <f>IF(A17="","",IF(C17&gt;=2*$J$12,"จุดหนืด",IF(C17&lt;=0.5*$J$12,"air pocket","")))</f>
        <v/>
      </c>
      <c r="H17" s="6">
        <f>IF(AND(A17&gt;=$J$6,'Gamma Data'!B17&gt;0,'Gamma Data'!B17&gt;='Gamma Data'!C17*1.5),'Gamma Data'!B17,0)</f>
        <v/>
      </c>
      <c r="I17" s="7" t="inlineStr">
        <is>
          <t>จำนวนแถวที่คำนวณ</t>
        </is>
      </c>
      <c r="J17" s="7">
        <f>COUNT('Gamma Data'!$A$2:$A$152)</f>
        <v/>
      </c>
      <c r="AB17">
        <f>IF(NOT(ISNUMBER('Gamma Data'!A17)),"",IF((ABS('Gamma Data'!B17)+ABS('Gamma Data'!C17))=0,"",IF(OR(ABS('Gamma Data'!A17-$J$6)&gt;$J$6*$J$26,ABS('Gamma Data'!A17-$J$6)&lt;$J$28),"",(ABS('Gamma Data'!B17)+ABS('Gamma Data'!C17))/MAX(ABS('Gamma Data'!A17-$J$6)/($J$6*0.005),1)+ROW()/1000000000)))</f>
        <v/>
      </c>
    </row>
    <row r="18" ht="15" customHeight="1" s="35">
      <c r="A18" s="3">
        <f>IF('Gamma Data'!A18="","",'Gamma Data'!A18)</f>
        <v/>
      </c>
      <c r="B18" s="3">
        <f>IF(A18="","",'Gamma Data'!B18-'Gamma Data'!C18)</f>
        <v/>
      </c>
      <c r="C18" s="3">
        <f>IF(A18="","",ABS('Gamma Data'!B18)+ABS('Gamma Data'!C18))</f>
        <v/>
      </c>
      <c r="D18" s="4">
        <f>IF(A18="","",IF(C18=0,"-",IF(AND('Gamma Data'!B18&gt;0,'Gamma Data'!B18&gt;='Gamma Data'!C18*1.5),"Call Wall",IF(AND('Gamma Data'!C18&gt;0,'Gamma Data'!C18&gt;='Gamma Data'!B18*1.5),"Put Wall","(mixed)"))))</f>
        <v/>
      </c>
      <c r="E18" s="5">
        <f>IF(OR(A18="",$J$12=0),"",C18/$J$12)</f>
        <v/>
      </c>
      <c r="F18" s="4">
        <f>IF(A18="","",IF(C18&gt;=2*$J$12,"จุดหนืด",IF(C18&lt;=0.5*$J$12,"air pocket","")))</f>
        <v/>
      </c>
      <c r="H18" s="6">
        <f>IF(AND(A18&gt;=$J$6,'Gamma Data'!B18&gt;0,'Gamma Data'!B18&gt;='Gamma Data'!C18*1.5),'Gamma Data'!B18,0)</f>
        <v/>
      </c>
      <c r="I18" s="17" t="inlineStr">
        <is>
          <t>CONVICTION</t>
        </is>
      </c>
      <c r="J18" s="18">
        <f t="array" ref="J18">IF(SUMPRODUCT(ABS('Gamma Data'!$B$2:$B$152-'Gamma Data'!$C$2:$C$152))=0,"",ABS(J4)/SUMPRODUCT(ABS('Gamma Data'!$B$2:$B$152-'Gamma Data'!$C$2:$C$152)))</f>
        <v/>
      </c>
      <c r="AB18">
        <f>IF(NOT(ISNUMBER('Gamma Data'!A18)),"",IF((ABS('Gamma Data'!B18)+ABS('Gamma Data'!C18))=0,"",IF(OR(ABS('Gamma Data'!A18-$J$6)&gt;$J$6*$J$26,ABS('Gamma Data'!A18-$J$6)&lt;$J$28),"",(ABS('Gamma Data'!B18)+ABS('Gamma Data'!C18))/MAX(ABS('Gamma Data'!A18-$J$6)/($J$6*0.005),1)+ROW()/1000000000)))</f>
        <v/>
      </c>
    </row>
    <row r="19" ht="15" customHeight="1" s="35">
      <c r="A19" s="3">
        <f>IF('Gamma Data'!A19="","",'Gamma Data'!A19)</f>
        <v/>
      </c>
      <c r="B19" s="3">
        <f>IF(A19="","",'Gamma Data'!B19-'Gamma Data'!C19)</f>
        <v/>
      </c>
      <c r="C19" s="3">
        <f>IF(A19="","",ABS('Gamma Data'!B19)+ABS('Gamma Data'!C19))</f>
        <v/>
      </c>
      <c r="D19" s="4">
        <f>IF(A19="","",IF(C19=0,"-",IF(AND('Gamma Data'!B19&gt;0,'Gamma Data'!B19&gt;='Gamma Data'!C19*1.5),"Call Wall",IF(AND('Gamma Data'!C19&gt;0,'Gamma Data'!C19&gt;='Gamma Data'!B19*1.5),"Put Wall","(mixed)"))))</f>
        <v/>
      </c>
      <c r="E19" s="5">
        <f>IF(OR(A19="",$J$12=0),"",C19/$J$12)</f>
        <v/>
      </c>
      <c r="F19" s="4">
        <f>IF(A19="","",IF(C19&gt;=2*$J$12,"จุดหนืด",IF(C19&lt;=0.5*$J$12,"air pocket","")))</f>
        <v/>
      </c>
      <c r="H19" s="6">
        <f>IF(AND(A19&gt;=$J$6,'Gamma Data'!B19&gt;0,'Gamma Data'!B19&gt;='Gamma Data'!C19*1.5),'Gamma Data'!B19,0)</f>
        <v/>
      </c>
      <c r="J19" s="17">
        <f>IF(J18="","",IF(J18&lt;0.05,"อ่อนมาก - ยังใช้งานไม่ได้",IF(J18&lt;0.15,"อ่อน - ใช้ประกอบได้แต่อย่าพึ่งพา",IF(J18&lt;0.3,"พอใช้ได้","ชัดเจน - เชื่อถือได้"))))</f>
        <v/>
      </c>
      <c r="AB19">
        <f>IF(NOT(ISNUMBER('Gamma Data'!A19)),"",IF((ABS('Gamma Data'!B19)+ABS('Gamma Data'!C19))=0,"",IF(OR(ABS('Gamma Data'!A19-$J$6)&gt;$J$6*$J$26,ABS('Gamma Data'!A19-$J$6)&lt;$J$28),"",(ABS('Gamma Data'!B19)+ABS('Gamma Data'!C19))/MAX(ABS('Gamma Data'!A19-$J$6)/($J$6*0.005),1)+ROW()/1000000000)))</f>
        <v/>
      </c>
    </row>
    <row r="20" ht="15" customHeight="1" s="35">
      <c r="A20" s="3">
        <f>IF('Gamma Data'!A20="","",'Gamma Data'!A20)</f>
        <v/>
      </c>
      <c r="B20" s="3">
        <f>IF(A20="","",'Gamma Data'!B20-'Gamma Data'!C20)</f>
        <v/>
      </c>
      <c r="C20" s="3">
        <f>IF(A20="","",ABS('Gamma Data'!B20)+ABS('Gamma Data'!C20))</f>
        <v/>
      </c>
      <c r="D20" s="4">
        <f>IF(A20="","",IF(C20=0,"-",IF(AND('Gamma Data'!B20&gt;0,'Gamma Data'!B20&gt;='Gamma Data'!C20*1.5),"Call Wall",IF(AND('Gamma Data'!C20&gt;0,'Gamma Data'!C20&gt;='Gamma Data'!B20*1.5),"Put Wall","(mixed)"))))</f>
        <v/>
      </c>
      <c r="E20" s="5">
        <f>IF(OR(A20="",$J$12=0),"",C20/$J$12)</f>
        <v/>
      </c>
      <c r="F20" s="4">
        <f>IF(A20="","",IF(C20&gt;=2*$J$12,"จุดหนืด",IF(C20&lt;=0.5*$J$12,"air pocket","")))</f>
        <v/>
      </c>
      <c r="H20" s="6">
        <f>IF(AND(A20&gt;=$J$6,'Gamma Data'!B20&gt;0,'Gamma Data'!B20&gt;='Gamma Data'!C20*1.5),'Gamma Data'!B20,0)</f>
        <v/>
      </c>
      <c r="AB20">
        <f>IF(NOT(ISNUMBER('Gamma Data'!A20)),"",IF((ABS('Gamma Data'!B20)+ABS('Gamma Data'!C20))=0,"",IF(OR(ABS('Gamma Data'!A20-$J$6)&gt;$J$6*$J$26,ABS('Gamma Data'!A20-$J$6)&lt;$J$28),"",(ABS('Gamma Data'!B20)+ABS('Gamma Data'!C20))/MAX(ABS('Gamma Data'!A20-$J$6)/($J$6*0.005),1)+ROW()/1000000000)))</f>
        <v/>
      </c>
    </row>
    <row r="21" ht="15" customHeight="1" s="35">
      <c r="A21" s="3">
        <f>IF('Gamma Data'!A21="","",'Gamma Data'!A21)</f>
        <v/>
      </c>
      <c r="B21" s="3">
        <f>IF(A21="","",'Gamma Data'!B21-'Gamma Data'!C21)</f>
        <v/>
      </c>
      <c r="C21" s="3">
        <f>IF(A21="","",ABS('Gamma Data'!B21)+ABS('Gamma Data'!C21))</f>
        <v/>
      </c>
      <c r="D21" s="4">
        <f>IF(A21="","",IF(C21=0,"-",IF(AND('Gamma Data'!B21&gt;0,'Gamma Data'!B21&gt;='Gamma Data'!C21*1.5),"Call Wall",IF(AND('Gamma Data'!C21&gt;0,'Gamma Data'!C21&gt;='Gamma Data'!B21*1.5),"Put Wall","(mixed)"))))</f>
        <v/>
      </c>
      <c r="E21" s="5">
        <f>IF(OR(A21="",$J$12=0),"",C21/$J$12)</f>
        <v/>
      </c>
      <c r="F21" s="4">
        <f>IF(A21="","",IF(C21&gt;=2*$J$12,"จุดหนืด",IF(C21&lt;=0.5*$J$12,"air pocket","")))</f>
        <v/>
      </c>
      <c r="H21" s="6">
        <f>IF(AND(A21&gt;=$J$6,'Gamma Data'!B21&gt;0,'Gamma Data'!B21&gt;='Gamma Data'!C21*1.5),'Gamma Data'!B21,0)</f>
        <v/>
      </c>
      <c r="AB21">
        <f>IF(NOT(ISNUMBER('Gamma Data'!A21)),"",IF((ABS('Gamma Data'!B21)+ABS('Gamma Data'!C21))=0,"",IF(OR(ABS('Gamma Data'!A21-$J$6)&gt;$J$6*$J$26,ABS('Gamma Data'!A21-$J$6)&lt;$J$28),"",(ABS('Gamma Data'!B21)+ABS('Gamma Data'!C21))/MAX(ABS('Gamma Data'!A21-$J$6)/($J$6*0.005),1)+ROW()/1000000000)))</f>
        <v/>
      </c>
    </row>
    <row r="22" ht="15" customHeight="1" s="35">
      <c r="A22" s="3">
        <f>IF('Gamma Data'!A22="","",'Gamma Data'!A22)</f>
        <v/>
      </c>
      <c r="B22" s="3">
        <f>IF(A22="","",'Gamma Data'!B22-'Gamma Data'!C22)</f>
        <v/>
      </c>
      <c r="C22" s="3">
        <f>IF(A22="","",ABS('Gamma Data'!B22)+ABS('Gamma Data'!C22))</f>
        <v/>
      </c>
      <c r="D22" s="4">
        <f>IF(A22="","",IF(C22=0,"-",IF(AND('Gamma Data'!B22&gt;0,'Gamma Data'!B22&gt;='Gamma Data'!C22*1.5),"Call Wall",IF(AND('Gamma Data'!C22&gt;0,'Gamma Data'!C22&gt;='Gamma Data'!B22*1.5),"Put Wall","(mixed)"))))</f>
        <v/>
      </c>
      <c r="E22" s="5">
        <f>IF(OR(A22="",$J$12=0),"",C22/$J$12)</f>
        <v/>
      </c>
      <c r="F22" s="4">
        <f>IF(A22="","",IF(C22&gt;=2*$J$12,"จุดหนืด",IF(C22&lt;=0.5*$J$12,"air pocket","")))</f>
        <v/>
      </c>
      <c r="H22" s="6">
        <f>IF(AND(A22&gt;=$J$6,'Gamma Data'!B22&gt;0,'Gamma Data'!B22&gt;='Gamma Data'!C22*1.5),'Gamma Data'!B22,0)</f>
        <v/>
      </c>
      <c r="AB22">
        <f>IF(NOT(ISNUMBER('Gamma Data'!A22)),"",IF((ABS('Gamma Data'!B22)+ABS('Gamma Data'!C22))=0,"",IF(OR(ABS('Gamma Data'!A22-$J$6)&gt;$J$6*$J$26,ABS('Gamma Data'!A22-$J$6)&lt;$J$28),"",(ABS('Gamma Data'!B22)+ABS('Gamma Data'!C22))/MAX(ABS('Gamma Data'!A22-$J$6)/($J$6*0.005),1)+ROW()/1000000000)))</f>
        <v/>
      </c>
    </row>
    <row r="23" ht="15" customHeight="1" s="35">
      <c r="A23" s="3">
        <f>IF('Gamma Data'!A23="","",'Gamma Data'!A23)</f>
        <v/>
      </c>
      <c r="B23" s="3">
        <f>IF(A23="","",'Gamma Data'!B23-'Gamma Data'!C23)</f>
        <v/>
      </c>
      <c r="C23" s="3">
        <f>IF(A23="","",ABS('Gamma Data'!B23)+ABS('Gamma Data'!C23))</f>
        <v/>
      </c>
      <c r="D23" s="4">
        <f>IF(A23="","",IF(C23=0,"-",IF(AND('Gamma Data'!B23&gt;0,'Gamma Data'!B23&gt;='Gamma Data'!C23*1.5),"Call Wall",IF(AND('Gamma Data'!C23&gt;0,'Gamma Data'!C23&gt;='Gamma Data'!B23*1.5),"Put Wall","(mixed)"))))</f>
        <v/>
      </c>
      <c r="E23" s="5">
        <f>IF(OR(A23="",$J$12=0),"",C23/$J$12)</f>
        <v/>
      </c>
      <c r="F23" s="4">
        <f>IF(A23="","",IF(C23&gt;=2*$J$12,"จุดหนืด",IF(C23&lt;=0.5*$J$12,"air pocket","")))</f>
        <v/>
      </c>
      <c r="H23" s="6">
        <f>IF(AND(A23&gt;=$J$6,'Gamma Data'!B23&gt;0,'Gamma Data'!B23&gt;='Gamma Data'!C23*1.5),'Gamma Data'!B23,0)</f>
        <v/>
      </c>
      <c r="AB23">
        <f>IF(NOT(ISNUMBER('Gamma Data'!A23)),"",IF((ABS('Gamma Data'!B23)+ABS('Gamma Data'!C23))=0,"",IF(OR(ABS('Gamma Data'!A23-$J$6)&gt;$J$6*$J$26,ABS('Gamma Data'!A23-$J$6)&lt;$J$28),"",(ABS('Gamma Data'!B23)+ABS('Gamma Data'!C23))/MAX(ABS('Gamma Data'!A23-$J$6)/($J$6*0.005),1)+ROW()/1000000000)))</f>
        <v/>
      </c>
    </row>
    <row r="24" ht="15" customHeight="1" s="35">
      <c r="A24" s="3">
        <f>IF('Gamma Data'!A24="","",'Gamma Data'!A24)</f>
        <v/>
      </c>
      <c r="B24" s="3">
        <f>IF(A24="","",'Gamma Data'!B24-'Gamma Data'!C24)</f>
        <v/>
      </c>
      <c r="C24" s="3">
        <f>IF(A24="","",ABS('Gamma Data'!B24)+ABS('Gamma Data'!C24))</f>
        <v/>
      </c>
      <c r="D24" s="4">
        <f>IF(A24="","",IF(C24=0,"-",IF(AND('Gamma Data'!B24&gt;0,'Gamma Data'!B24&gt;='Gamma Data'!C24*1.5),"Call Wall",IF(AND('Gamma Data'!C24&gt;0,'Gamma Data'!C24&gt;='Gamma Data'!B24*1.5),"Put Wall","(mixed)"))))</f>
        <v/>
      </c>
      <c r="E24" s="5">
        <f>IF(OR(A24="",$J$12=0),"",C24/$J$12)</f>
        <v/>
      </c>
      <c r="F24" s="4">
        <f>IF(A24="","",IF(C24&gt;=2*$J$12,"จุดหนืด",IF(C24&lt;=0.5*$J$12,"air pocket","")))</f>
        <v/>
      </c>
      <c r="H24" s="6">
        <f>IF(AND(A24&gt;=$J$6,'Gamma Data'!B24&gt;0,'Gamma Data'!B24&gt;='Gamma Data'!C24*1.5),'Gamma Data'!B24,0)</f>
        <v/>
      </c>
      <c r="AB24">
        <f>IF(NOT(ISNUMBER('Gamma Data'!A24)),"",IF((ABS('Gamma Data'!B24)+ABS('Gamma Data'!C24))=0,"",IF(OR(ABS('Gamma Data'!A24-$J$6)&gt;$J$6*$J$26,ABS('Gamma Data'!A24-$J$6)&lt;$J$28),"",(ABS('Gamma Data'!B24)+ABS('Gamma Data'!C24))/MAX(ABS('Gamma Data'!A24-$J$6)/($J$6*0.005),1)+ROW()/1000000000)))</f>
        <v/>
      </c>
    </row>
    <row r="25" ht="15" customHeight="1" s="35">
      <c r="A25" s="3">
        <f>IF('Gamma Data'!A25="","",'Gamma Data'!A25)</f>
        <v/>
      </c>
      <c r="B25" s="3">
        <f>IF(A25="","",'Gamma Data'!B25-'Gamma Data'!C25)</f>
        <v/>
      </c>
      <c r="C25" s="3">
        <f>IF(A25="","",ABS('Gamma Data'!B25)+ABS('Gamma Data'!C25))</f>
        <v/>
      </c>
      <c r="D25" s="4">
        <f>IF(A25="","",IF(C25=0,"-",IF(AND('Gamma Data'!B25&gt;0,'Gamma Data'!B25&gt;='Gamma Data'!C25*1.5),"Call Wall",IF(AND('Gamma Data'!C25&gt;0,'Gamma Data'!C25&gt;='Gamma Data'!B25*1.5),"Put Wall","(mixed)"))))</f>
        <v/>
      </c>
      <c r="E25" s="5">
        <f>IF(OR(A25="",$J$12=0),"",C25/$J$12)</f>
        <v/>
      </c>
      <c r="F25" s="4">
        <f>IF(A25="","",IF(C25&gt;=2*$J$12,"จุดหนืด",IF(C25&lt;=0.5*$J$12,"air pocket","")))</f>
        <v/>
      </c>
      <c r="H25" s="6">
        <f>IF(AND(A25&gt;=$J$6,'Gamma Data'!B25&gt;0,'Gamma Data'!B25&gt;='Gamma Data'!C25*1.5),'Gamma Data'!B25,0)</f>
        <v/>
      </c>
      <c r="I25" s="7" t="inlineStr">
        <is>
          <t>── Pins (แม่เหล็ก) ──</t>
        </is>
      </c>
      <c r="AB25">
        <f>IF(NOT(ISNUMBER('Gamma Data'!A25)),"",IF((ABS('Gamma Data'!B25)+ABS('Gamma Data'!C25))=0,"",IF(OR(ABS('Gamma Data'!A25-$J$6)&gt;$J$6*$J$26,ABS('Gamma Data'!A25-$J$6)&lt;$J$28),"",(ABS('Gamma Data'!B25)+ABS('Gamma Data'!C25))/MAX(ABS('Gamma Data'!A25-$J$6)/($J$6*0.005),1)+ROW()/1000000000)))</f>
        <v/>
      </c>
    </row>
    <row r="26" ht="15" customHeight="1" s="35">
      <c r="A26" s="3">
        <f>IF('Gamma Data'!A26="","",'Gamma Data'!A26)</f>
        <v/>
      </c>
      <c r="B26" s="3">
        <f>IF(A26="","",'Gamma Data'!B26-'Gamma Data'!C26)</f>
        <v/>
      </c>
      <c r="C26" s="3">
        <f>IF(A26="","",ABS('Gamma Data'!B26)+ABS('Gamma Data'!C26))</f>
        <v/>
      </c>
      <c r="D26" s="4">
        <f>IF(A26="","",IF(C26=0,"-",IF(AND('Gamma Data'!B26&gt;0,'Gamma Data'!B26&gt;='Gamma Data'!C26*1.5),"Call Wall",IF(AND('Gamma Data'!C26&gt;0,'Gamma Data'!C26&gt;='Gamma Data'!B26*1.5),"Put Wall","(mixed)"))))</f>
        <v/>
      </c>
      <c r="E26" s="5">
        <f>IF(OR(A26="",$J$12=0),"",C26/$J$12)</f>
        <v/>
      </c>
      <c r="F26" s="4">
        <f>IF(A26="","",IF(C26&gt;=2*$J$12,"จุดหนืด",IF(C26&lt;=0.5*$J$12,"air pocket","")))</f>
        <v/>
      </c>
      <c r="H26" s="6">
        <f>IF(AND(A26&gt;=$J$6,'Gamma Data'!B26&gt;0,'Gamma Data'!B26&gt;='Gamma Data'!C26*1.5),'Gamma Data'!B26,0)</f>
        <v/>
      </c>
      <c r="I26" s="7" t="inlineStr">
        <is>
          <t>ช่วงค้นหา (± % ของราคา)</t>
        </is>
      </c>
      <c r="J26" s="19" t="n">
        <v>0.05</v>
      </c>
      <c r="AB26">
        <f>IF(NOT(ISNUMBER('Gamma Data'!A26)),"",IF((ABS('Gamma Data'!B26)+ABS('Gamma Data'!C26))=0,"",IF(OR(ABS('Gamma Data'!A26-$J$6)&gt;$J$6*$J$26,ABS('Gamma Data'!A26-$J$6)&lt;$J$28),"",(ABS('Gamma Data'!B26)+ABS('Gamma Data'!C26))/MAX(ABS('Gamma Data'!A26-$J$6)/($J$6*0.005),1)+ROW()/1000000000)))</f>
        <v/>
      </c>
    </row>
    <row r="27" ht="15" customHeight="1" s="35">
      <c r="A27" s="3">
        <f>IF('Gamma Data'!A27="","",'Gamma Data'!A27)</f>
        <v/>
      </c>
      <c r="B27" s="3">
        <f>IF(A27="","",'Gamma Data'!B27-'Gamma Data'!C27)</f>
        <v/>
      </c>
      <c r="C27" s="3">
        <f>IF(A27="","",ABS('Gamma Data'!B27)+ABS('Gamma Data'!C27))</f>
        <v/>
      </c>
      <c r="D27" s="4">
        <f>IF(A27="","",IF(C27=0,"-",IF(AND('Gamma Data'!B27&gt;0,'Gamma Data'!B27&gt;='Gamma Data'!C27*1.5),"Call Wall",IF(AND('Gamma Data'!C27&gt;0,'Gamma Data'!C27&gt;='Gamma Data'!B27*1.5),"Put Wall","(mixed)"))))</f>
        <v/>
      </c>
      <c r="E27" s="5">
        <f>IF(OR(A27="",$J$12=0),"",C27/$J$12)</f>
        <v/>
      </c>
      <c r="F27" s="4">
        <f>IF(A27="","",IF(C27&gt;=2*$J$12,"จุดหนืด",IF(C27&lt;=0.5*$J$12,"air pocket","")))</f>
        <v/>
      </c>
      <c r="H27" s="6">
        <f>IF(AND(A27&gt;=$J$6,'Gamma Data'!B27&gt;0,'Gamma Data'!B27&gt;='Gamma Data'!C27*1.5),'Gamma Data'!B27,0)</f>
        <v/>
      </c>
      <c r="I27" s="7" t="inlineStr">
        <is>
          <t>สถานะแรงดูด</t>
        </is>
      </c>
      <c r="J27" s="7">
        <f>IF(SUMPRODUCT(ABS('Gamma Data'!$B$2:$B$152-'Gamma Data'!$C$2:$C$152))=0,"",IF(ABS((SUM('Gamma Data'!$B$2:$B$152)-SUM('Gamma Data'!$C$2:$C$152)))/SUMPRODUCT(ABS('Gamma Data'!$B$2:$B$152-'Gamma Data'!$C$2:$C$152))&lt;0.05,"กระดานสมดุล - แรงดูดไม่ชัด",IF((SUM('Gamma Data'!$B$2:$B$152)-SUM('Gamma Data'!$C$2:$C$152))&gt;0,"มีแรงดูด - โหมด Positive GEX","ไม่มีแรงดูด - โหมดลบ ใช้เป็นเส้นอ้างอิง")))</f>
        <v/>
      </c>
      <c r="AB27">
        <f>IF(NOT(ISNUMBER('Gamma Data'!A27)),"",IF((ABS('Gamma Data'!B27)+ABS('Gamma Data'!C27))=0,"",IF(OR(ABS('Gamma Data'!A27-$J$6)&gt;$J$6*$J$26,ABS('Gamma Data'!A27-$J$6)&lt;$J$28),"",(ABS('Gamma Data'!B27)+ABS('Gamma Data'!C27))/MAX(ABS('Gamma Data'!A27-$J$6)/($J$6*0.005),1)+ROW()/1000000000)))</f>
        <v/>
      </c>
    </row>
    <row r="28" ht="15" customHeight="1" s="35">
      <c r="A28" s="3">
        <f>IF('Gamma Data'!A28="","",'Gamma Data'!A28)</f>
        <v/>
      </c>
      <c r="B28" s="3">
        <f>IF(A28="","",'Gamma Data'!B28-'Gamma Data'!C28)</f>
        <v/>
      </c>
      <c r="C28" s="3">
        <f>IF(A28="","",ABS('Gamma Data'!B28)+ABS('Gamma Data'!C28))</f>
        <v/>
      </c>
      <c r="D28" s="4">
        <f>IF(A28="","",IF(C28=0,"-",IF(AND('Gamma Data'!B28&gt;0,'Gamma Data'!B28&gt;='Gamma Data'!C28*1.5),"Call Wall",IF(AND('Gamma Data'!C28&gt;0,'Gamma Data'!C28&gt;='Gamma Data'!B28*1.5),"Put Wall","(mixed)"))))</f>
        <v/>
      </c>
      <c r="E28" s="5">
        <f>IF(OR(A28="",$J$12=0),"",C28/$J$12)</f>
        <v/>
      </c>
      <c r="F28" s="4">
        <f>IF(A28="","",IF(C28&gt;=2*$J$12,"จุดหนืด",IF(C28&lt;=0.5*$J$12,"air pocket","")))</f>
        <v/>
      </c>
      <c r="H28" s="6">
        <f>IF(AND(A28&gt;=$J$6,'Gamma Data'!B28&gt;0,'Gamma Data'!B28&gt;='Gamma Data'!C28*1.5),'Gamma Data'!B28,0)</f>
        <v/>
      </c>
      <c r="I28" s="7" t="inlineStr">
        <is>
          <t>ระยะขั้นต่ำจากราคา ($)</t>
        </is>
      </c>
      <c r="J28" s="20" t="n">
        <v>25</v>
      </c>
      <c r="AB28">
        <f>IF(NOT(ISNUMBER('Gamma Data'!A28)),"",IF((ABS('Gamma Data'!B28)+ABS('Gamma Data'!C28))=0,"",IF(OR(ABS('Gamma Data'!A28-$J$6)&gt;$J$6*$J$26,ABS('Gamma Data'!A28-$J$6)&lt;$J$28),"",(ABS('Gamma Data'!B28)+ABS('Gamma Data'!C28))/MAX(ABS('Gamma Data'!A28-$J$6)/($J$6*0.005),1)+ROW()/1000000000)))</f>
        <v/>
      </c>
    </row>
    <row r="29" ht="33" customHeight="1" s="35">
      <c r="A29" s="3">
        <f>IF('Gamma Data'!A29="","",'Gamma Data'!A29)</f>
        <v/>
      </c>
      <c r="B29" s="3">
        <f>IF(A29="","",'Gamma Data'!B29-'Gamma Data'!C29)</f>
        <v/>
      </c>
      <c r="C29" s="3">
        <f>IF(A29="","",ABS('Gamma Data'!B29)+ABS('Gamma Data'!C29))</f>
        <v/>
      </c>
      <c r="D29" s="4">
        <f>IF(A29="","",IF(C29=0,"-",IF(AND('Gamma Data'!B29&gt;0,'Gamma Data'!B29&gt;='Gamma Data'!C29*1.5),"Call Wall",IF(AND('Gamma Data'!C29&gt;0,'Gamma Data'!C29&gt;='Gamma Data'!B29*1.5),"Put Wall","(mixed)"))))</f>
        <v/>
      </c>
      <c r="E29" s="5">
        <f>IF(OR(A29="",$J$12=0),"",C29/$J$12)</f>
        <v/>
      </c>
      <c r="F29" s="4">
        <f>IF(A29="","",IF(C29&gt;=2*$J$12,"จุดหนืด",IF(C29&lt;=0.5*$J$12,"air pocket","")))</f>
        <v/>
      </c>
      <c r="H29" s="6">
        <f>IF(AND(A29&gt;=$J$6,'Gamma Data'!B29&gt;0,'Gamma Data'!B29&gt;='Gamma Data'!C29*1.5),'Gamma Data'!B29,0)</f>
        <v/>
      </c>
      <c r="I29" s="1" t="inlineStr">
        <is>
          <t>อันดับ</t>
        </is>
      </c>
      <c r="J29" s="1" t="inlineStr">
        <is>
          <t>Strike</t>
        </is>
      </c>
      <c r="K29" s="1" t="inlineStr">
        <is>
          <t>Gross Gamma</t>
        </is>
      </c>
      <c r="L29" s="1" t="inlineStr">
        <is>
          <t xml:space="preserve">ห่างราคา </t>
        </is>
      </c>
      <c r="M29" s="1" t="inlineStr">
        <is>
          <t>ฝั่งที่เด่น</t>
        </is>
      </c>
      <c r="AB29">
        <f>IF(NOT(ISNUMBER('Gamma Data'!A29)),"",IF((ABS('Gamma Data'!B29)+ABS('Gamma Data'!C29))=0,"",IF(OR(ABS('Gamma Data'!A29-$J$6)&gt;$J$6*$J$26,ABS('Gamma Data'!A29-$J$6)&lt;$J$28),"",(ABS('Gamma Data'!B29)+ABS('Gamma Data'!C29))/MAX(ABS('Gamma Data'!A29-$J$6)/($J$6*0.005),1)+ROW()/1000000000)))</f>
        <v/>
      </c>
    </row>
    <row r="30" ht="15" customHeight="1" s="35">
      <c r="A30" s="3">
        <f>IF('Gamma Data'!A30="","",'Gamma Data'!A30)</f>
        <v/>
      </c>
      <c r="B30" s="3">
        <f>IF(A30="","",'Gamma Data'!B30-'Gamma Data'!C30)</f>
        <v/>
      </c>
      <c r="C30" s="3">
        <f>IF(A30="","",ABS('Gamma Data'!B30)+ABS('Gamma Data'!C30))</f>
        <v/>
      </c>
      <c r="D30" s="4">
        <f>IF(A30="","",IF(C30=0,"-",IF(AND('Gamma Data'!B30&gt;0,'Gamma Data'!B30&gt;='Gamma Data'!C30*1.5),"Call Wall",IF(AND('Gamma Data'!C30&gt;0,'Gamma Data'!C30&gt;='Gamma Data'!B30*1.5),"Put Wall","(mixed)"))))</f>
        <v/>
      </c>
      <c r="E30" s="5">
        <f>IF(OR(A30="",$J$12=0),"",C30/$J$12)</f>
        <v/>
      </c>
      <c r="F30" s="4">
        <f>IF(A30="","",IF(C30&gt;=2*$J$12,"จุดหนืด",IF(C30&lt;=0.5*$J$12,"air pocket","")))</f>
        <v/>
      </c>
      <c r="H30" s="6">
        <f>IF(AND(A30&gt;=$J$6,'Gamma Data'!B30&gt;0,'Gamma Data'!B30&gt;='Gamma Data'!C30*1.5),'Gamma Data'!B30,0)</f>
        <v/>
      </c>
      <c r="I30" s="21" t="n">
        <v>1</v>
      </c>
      <c r="J30" s="3">
        <f>IF(COUNT($AB$2:$AB$152)&lt;1,"",INDEX('Gamma Data'!$A$2:$A$152,MATCH(LARGE($AB$2:$AB$152,1),$AB$2:$AB$152,0)))</f>
        <v/>
      </c>
      <c r="K30" s="3">
        <f>IF(J30="","",ABS(INDEX('Gamma Data'!$B$2:$B$152,MATCH(J30,'Gamma Data'!$A$2:$A$152,0)))+ABS(INDEX('Gamma Data'!$C$2:$C$152,MATCH(J30,'Gamma Data'!$A$2:$A$152,0))))</f>
        <v/>
      </c>
      <c r="L30" s="22">
        <f>IF(J30="","",J30-$J$6)</f>
        <v/>
      </c>
      <c r="M30" s="4">
        <f>IF(J30="","",IF(AND(INDEX('Gamma Data'!$B$2:$B$152,MATCH(J30,'Gamma Data'!$A$2:$A$152,0))&gt;0,INDEX('Gamma Data'!$B$2:$B$152,MATCH(J30,'Gamma Data'!$A$2:$A$152,0))&gt;=INDEX('Gamma Data'!$C$2:$C$152,MATCH(J30,'Gamma Data'!$A$2:$A$152,0))*1.5),"Call เด่น",IF(AND(INDEX('Gamma Data'!$C$2:$C$152,MATCH(J30,'Gamma Data'!$A$2:$A$152,0))&gt;0,INDEX('Gamma Data'!$C$2:$C$152,MATCH(J30,'Gamma Data'!$A$2:$A$152,0))&gt;=INDEX('Gamma Data'!$B$2:$B$152,MATCH(J30,'Gamma Data'!$A$2:$A$152,0))*1.5),"Put เด่น","(mixed)")))</f>
        <v/>
      </c>
      <c r="AB30">
        <f>IF(NOT(ISNUMBER('Gamma Data'!A30)),"",IF((ABS('Gamma Data'!B30)+ABS('Gamma Data'!C30))=0,"",IF(OR(ABS('Gamma Data'!A30-$J$6)&gt;$J$6*$J$26,ABS('Gamma Data'!A30-$J$6)&lt;$J$28),"",(ABS('Gamma Data'!B30)+ABS('Gamma Data'!C30))/MAX(ABS('Gamma Data'!A30-$J$6)/($J$6*0.005),1)+ROW()/1000000000)))</f>
        <v/>
      </c>
    </row>
    <row r="31" ht="15" customHeight="1" s="35">
      <c r="A31" s="3">
        <f>IF('Gamma Data'!A31="","",'Gamma Data'!A31)</f>
        <v/>
      </c>
      <c r="B31" s="3">
        <f>IF(A31="","",'Gamma Data'!B31-'Gamma Data'!C31)</f>
        <v/>
      </c>
      <c r="C31" s="3">
        <f>IF(A31="","",ABS('Gamma Data'!B31)+ABS('Gamma Data'!C31))</f>
        <v/>
      </c>
      <c r="D31" s="4">
        <f>IF(A31="","",IF(C31=0,"-",IF(AND('Gamma Data'!B31&gt;0,'Gamma Data'!B31&gt;='Gamma Data'!C31*1.5),"Call Wall",IF(AND('Gamma Data'!C31&gt;0,'Gamma Data'!C31&gt;='Gamma Data'!B31*1.5),"Put Wall","(mixed)"))))</f>
        <v/>
      </c>
      <c r="E31" s="5">
        <f>IF(OR(A31="",$J$12=0),"",C31/$J$12)</f>
        <v/>
      </c>
      <c r="F31" s="4">
        <f>IF(A31="","",IF(C31&gt;=2*$J$12,"จุดหนืด",IF(C31&lt;=0.5*$J$12,"air pocket","")))</f>
        <v/>
      </c>
      <c r="H31" s="6">
        <f>IF(AND(A31&gt;=$J$6,'Gamma Data'!B31&gt;0,'Gamma Data'!B31&gt;='Gamma Data'!C31*1.5),'Gamma Data'!B31,0)</f>
        <v/>
      </c>
      <c r="I31" s="21" t="n">
        <v>2</v>
      </c>
      <c r="J31" s="3">
        <f>IF(COUNT($AB$2:$AB$152)&lt;2,"",INDEX('Gamma Data'!$A$2:$A$152,MATCH(LARGE($AB$2:$AB$152,2),$AB$2:$AB$152,0)))</f>
        <v/>
      </c>
      <c r="K31" s="3">
        <f>IF(J31="","",ABS(INDEX('Gamma Data'!$B$2:$B$152,MATCH(J31,'Gamma Data'!$A$2:$A$152,0)))+ABS(INDEX('Gamma Data'!$C$2:$C$152,MATCH(J31,'Gamma Data'!$A$2:$A$152,0))))</f>
        <v/>
      </c>
      <c r="L31" s="22">
        <f>IF(J31="","",J31-$J$6)</f>
        <v/>
      </c>
      <c r="M31" s="4">
        <f>IF(J31="","",IF(AND(INDEX('Gamma Data'!$B$2:$B$152,MATCH(J31,'Gamma Data'!$A$2:$A$152,0))&gt;0,INDEX('Gamma Data'!$B$2:$B$152,MATCH(J31,'Gamma Data'!$A$2:$A$152,0))&gt;=INDEX('Gamma Data'!$C$2:$C$152,MATCH(J31,'Gamma Data'!$A$2:$A$152,0))*1.5),"Call เด่น",IF(AND(INDEX('Gamma Data'!$C$2:$C$152,MATCH(J31,'Gamma Data'!$A$2:$A$152,0))&gt;0,INDEX('Gamma Data'!$C$2:$C$152,MATCH(J31,'Gamma Data'!$A$2:$A$152,0))&gt;=INDEX('Gamma Data'!$B$2:$B$152,MATCH(J31,'Gamma Data'!$A$2:$A$152,0))*1.5),"Put เด่น","(mixed)")))</f>
        <v/>
      </c>
      <c r="AB31">
        <f>IF(NOT(ISNUMBER('Gamma Data'!A31)),"",IF((ABS('Gamma Data'!B31)+ABS('Gamma Data'!C31))=0,"",IF(OR(ABS('Gamma Data'!A31-$J$6)&gt;$J$6*$J$26,ABS('Gamma Data'!A31-$J$6)&lt;$J$28),"",(ABS('Gamma Data'!B31)+ABS('Gamma Data'!C31))/MAX(ABS('Gamma Data'!A31-$J$6)/($J$6*0.005),1)+ROW()/1000000000)))</f>
        <v/>
      </c>
    </row>
    <row r="32" ht="15" customHeight="1" s="35">
      <c r="A32" s="3">
        <f>IF('Gamma Data'!A32="","",'Gamma Data'!A32)</f>
        <v/>
      </c>
      <c r="B32" s="3">
        <f>IF(A32="","",'Gamma Data'!B32-'Gamma Data'!C32)</f>
        <v/>
      </c>
      <c r="C32" s="3">
        <f>IF(A32="","",ABS('Gamma Data'!B32)+ABS('Gamma Data'!C32))</f>
        <v/>
      </c>
      <c r="D32" s="4">
        <f>IF(A32="","",IF(C32=0,"-",IF(AND('Gamma Data'!B32&gt;0,'Gamma Data'!B32&gt;='Gamma Data'!C32*1.5),"Call Wall",IF(AND('Gamma Data'!C32&gt;0,'Gamma Data'!C32&gt;='Gamma Data'!B32*1.5),"Put Wall","(mixed)"))))</f>
        <v/>
      </c>
      <c r="E32" s="5">
        <f>IF(OR(A32="",$J$12=0),"",C32/$J$12)</f>
        <v/>
      </c>
      <c r="F32" s="4">
        <f>IF(A32="","",IF(C32&gt;=2*$J$12,"จุดหนืด",IF(C32&lt;=0.5*$J$12,"air pocket","")))</f>
        <v/>
      </c>
      <c r="H32" s="6">
        <f>IF(AND(A32&gt;=$J$6,'Gamma Data'!B32&gt;0,'Gamma Data'!B32&gt;='Gamma Data'!C32*1.5),'Gamma Data'!B32,0)</f>
        <v/>
      </c>
      <c r="I32" s="21" t="n">
        <v>3</v>
      </c>
      <c r="J32" s="3">
        <f>IF(COUNT($AB$2:$AB$152)&lt;3,"",INDEX('Gamma Data'!$A$2:$A$152,MATCH(LARGE($AB$2:$AB$152,3),$AB$2:$AB$152,0)))</f>
        <v/>
      </c>
      <c r="K32" s="3">
        <f>IF(J32="","",ABS(INDEX('Gamma Data'!$B$2:$B$152,MATCH(J32,'Gamma Data'!$A$2:$A$152,0)))+ABS(INDEX('Gamma Data'!$C$2:$C$152,MATCH(J32,'Gamma Data'!$A$2:$A$152,0))))</f>
        <v/>
      </c>
      <c r="L32" s="22">
        <f>IF(J32="","",J32-$J$6)</f>
        <v/>
      </c>
      <c r="M32" s="4">
        <f>IF(J32="","",IF(AND(INDEX('Gamma Data'!$B$2:$B$152,MATCH(J32,'Gamma Data'!$A$2:$A$152,0))&gt;0,INDEX('Gamma Data'!$B$2:$B$152,MATCH(J32,'Gamma Data'!$A$2:$A$152,0))&gt;=INDEX('Gamma Data'!$C$2:$C$152,MATCH(J32,'Gamma Data'!$A$2:$A$152,0))*1.5),"Call เด่น",IF(AND(INDEX('Gamma Data'!$C$2:$C$152,MATCH(J32,'Gamma Data'!$A$2:$A$152,0))&gt;0,INDEX('Gamma Data'!$C$2:$C$152,MATCH(J32,'Gamma Data'!$A$2:$A$152,0))&gt;=INDEX('Gamma Data'!$B$2:$B$152,MATCH(J32,'Gamma Data'!$A$2:$A$152,0))*1.5),"Put เด่น","(mixed)")))</f>
        <v/>
      </c>
      <c r="AB32">
        <f>IF(NOT(ISNUMBER('Gamma Data'!A32)),"",IF((ABS('Gamma Data'!B32)+ABS('Gamma Data'!C32))=0,"",IF(OR(ABS('Gamma Data'!A32-$J$6)&gt;$J$6*$J$26,ABS('Gamma Data'!A32-$J$6)&lt;$J$28),"",(ABS('Gamma Data'!B32)+ABS('Gamma Data'!C32))/MAX(ABS('Gamma Data'!A32-$J$6)/($J$6*0.005),1)+ROW()/1000000000)))</f>
        <v/>
      </c>
    </row>
    <row r="33" ht="15" customHeight="1" s="35">
      <c r="A33" s="3">
        <f>IF('Gamma Data'!A33="","",'Gamma Data'!A33)</f>
        <v/>
      </c>
      <c r="B33" s="3">
        <f>IF(A33="","",'Gamma Data'!B33-'Gamma Data'!C33)</f>
        <v/>
      </c>
      <c r="C33" s="3">
        <f>IF(A33="","",ABS('Gamma Data'!B33)+ABS('Gamma Data'!C33))</f>
        <v/>
      </c>
      <c r="D33" s="4">
        <f>IF(A33="","",IF(C33=0,"-",IF(AND('Gamma Data'!B33&gt;0,'Gamma Data'!B33&gt;='Gamma Data'!C33*1.5),"Call Wall",IF(AND('Gamma Data'!C33&gt;0,'Gamma Data'!C33&gt;='Gamma Data'!B33*1.5),"Put Wall","(mixed)"))))</f>
        <v/>
      </c>
      <c r="E33" s="5">
        <f>IF(OR(A33="",$J$12=0),"",C33/$J$12)</f>
        <v/>
      </c>
      <c r="F33" s="4">
        <f>IF(A33="","",IF(C33&gt;=2*$J$12,"จุดหนืด",IF(C33&lt;=0.5*$J$12,"air pocket","")))</f>
        <v/>
      </c>
      <c r="H33" s="6">
        <f>IF(AND(A33&gt;=$J$6,'Gamma Data'!B33&gt;0,'Gamma Data'!B33&gt;='Gamma Data'!C33*1.5),'Gamma Data'!B33,0)</f>
        <v/>
      </c>
      <c r="I33" s="21" t="n">
        <v>4</v>
      </c>
      <c r="J33" s="3">
        <f>IF(COUNT($AB$2:$AB$152)&lt;4,"",INDEX('Gamma Data'!$A$2:$A$152,MATCH(LARGE($AB$2:$AB$152,4),$AB$2:$AB$152,0)))</f>
        <v/>
      </c>
      <c r="K33" s="3">
        <f>IF(J33="","",ABS(INDEX('Gamma Data'!$B$2:$B$152,MATCH(J33,'Gamma Data'!$A$2:$A$152,0)))+ABS(INDEX('Gamma Data'!$C$2:$C$152,MATCH(J33,'Gamma Data'!$A$2:$A$152,0))))</f>
        <v/>
      </c>
      <c r="L33" s="22">
        <f>IF(J33="","",J33-$J$6)</f>
        <v/>
      </c>
      <c r="M33" s="4">
        <f>IF(J33="","",IF(AND(INDEX('Gamma Data'!$B$2:$B$152,MATCH(J33,'Gamma Data'!$A$2:$A$152,0))&gt;0,INDEX('Gamma Data'!$B$2:$B$152,MATCH(J33,'Gamma Data'!$A$2:$A$152,0))&gt;=INDEX('Gamma Data'!$C$2:$C$152,MATCH(J33,'Gamma Data'!$A$2:$A$152,0))*1.5),"Call เด่น",IF(AND(INDEX('Gamma Data'!$C$2:$C$152,MATCH(J33,'Gamma Data'!$A$2:$A$152,0))&gt;0,INDEX('Gamma Data'!$C$2:$C$152,MATCH(J33,'Gamma Data'!$A$2:$A$152,0))&gt;=INDEX('Gamma Data'!$B$2:$B$152,MATCH(J33,'Gamma Data'!$A$2:$A$152,0))*1.5),"Put เด่น","(mixed)")))</f>
        <v/>
      </c>
      <c r="AB33">
        <f>IF(NOT(ISNUMBER('Gamma Data'!A33)),"",IF((ABS('Gamma Data'!B33)+ABS('Gamma Data'!C33))=0,"",IF(OR(ABS('Gamma Data'!A33-$J$6)&gt;$J$6*$J$26,ABS('Gamma Data'!A33-$J$6)&lt;$J$28),"",(ABS('Gamma Data'!B33)+ABS('Gamma Data'!C33))/MAX(ABS('Gamma Data'!A33-$J$6)/($J$6*0.005),1)+ROW()/1000000000)))</f>
        <v/>
      </c>
    </row>
    <row r="34" ht="15" customHeight="1" s="35">
      <c r="A34" s="3">
        <f>IF('Gamma Data'!A34="","",'Gamma Data'!A34)</f>
        <v/>
      </c>
      <c r="B34" s="3">
        <f>IF(A34="","",'Gamma Data'!B34-'Gamma Data'!C34)</f>
        <v/>
      </c>
      <c r="C34" s="3">
        <f>IF(A34="","",ABS('Gamma Data'!B34)+ABS('Gamma Data'!C34))</f>
        <v/>
      </c>
      <c r="D34" s="4">
        <f>IF(A34="","",IF(C34=0,"-",IF(AND('Gamma Data'!B34&gt;0,'Gamma Data'!B34&gt;='Gamma Data'!C34*1.5),"Call Wall",IF(AND('Gamma Data'!C34&gt;0,'Gamma Data'!C34&gt;='Gamma Data'!B34*1.5),"Put Wall","(mixed)"))))</f>
        <v/>
      </c>
      <c r="E34" s="5">
        <f>IF(OR(A34="",$J$12=0),"",C34/$J$12)</f>
        <v/>
      </c>
      <c r="F34" s="4">
        <f>IF(A34="","",IF(C34&gt;=2*$J$12,"จุดหนืด",IF(C34&lt;=0.5*$J$12,"air pocket","")))</f>
        <v/>
      </c>
      <c r="H34" s="6">
        <f>IF(AND(A34&gt;=$J$6,'Gamma Data'!B34&gt;0,'Gamma Data'!B34&gt;='Gamma Data'!C34*1.5),'Gamma Data'!B34,0)</f>
        <v/>
      </c>
      <c r="I34" s="21" t="n">
        <v>5</v>
      </c>
      <c r="J34" s="3">
        <f>IF(COUNT($AB$2:$AB$152)&lt;5,"",INDEX('Gamma Data'!$A$2:$A$152,MATCH(LARGE($AB$2:$AB$152,5),$AB$2:$AB$152,0)))</f>
        <v/>
      </c>
      <c r="K34" s="3">
        <f>IF(J34="","",ABS(INDEX('Gamma Data'!$B$2:$B$152,MATCH(J34,'Gamma Data'!$A$2:$A$152,0)))+ABS(INDEX('Gamma Data'!$C$2:$C$152,MATCH(J34,'Gamma Data'!$A$2:$A$152,0))))</f>
        <v/>
      </c>
      <c r="L34" s="22">
        <f>IF(J34="","",J34-$J$6)</f>
        <v/>
      </c>
      <c r="M34" s="4">
        <f>IF(J34="","",IF(AND(INDEX('Gamma Data'!$B$2:$B$152,MATCH(J34,'Gamma Data'!$A$2:$A$152,0))&gt;0,INDEX('Gamma Data'!$B$2:$B$152,MATCH(J34,'Gamma Data'!$A$2:$A$152,0))&gt;=INDEX('Gamma Data'!$C$2:$C$152,MATCH(J34,'Gamma Data'!$A$2:$A$152,0))*1.5),"Call เด่น",IF(AND(INDEX('Gamma Data'!$C$2:$C$152,MATCH(J34,'Gamma Data'!$A$2:$A$152,0))&gt;0,INDEX('Gamma Data'!$C$2:$C$152,MATCH(J34,'Gamma Data'!$A$2:$A$152,0))&gt;=INDEX('Gamma Data'!$B$2:$B$152,MATCH(J34,'Gamma Data'!$A$2:$A$152,0))*1.5),"Put เด่น","(mixed)")))</f>
        <v/>
      </c>
      <c r="AB34">
        <f>IF(NOT(ISNUMBER('Gamma Data'!A34)),"",IF((ABS('Gamma Data'!B34)+ABS('Gamma Data'!C34))=0,"",IF(OR(ABS('Gamma Data'!A34-$J$6)&gt;$J$6*$J$26,ABS('Gamma Data'!A34-$J$6)&lt;$J$28),"",(ABS('Gamma Data'!B34)+ABS('Gamma Data'!C34))/MAX(ABS('Gamma Data'!A34-$J$6)/($J$6*0.005),1)+ROW()/1000000000)))</f>
        <v/>
      </c>
    </row>
    <row r="35" ht="15" customHeight="1" s="35">
      <c r="A35" s="3">
        <f>IF('Gamma Data'!A35="","",'Gamma Data'!A35)</f>
        <v/>
      </c>
      <c r="B35" s="3">
        <f>IF(A35="","",'Gamma Data'!B35-'Gamma Data'!C35)</f>
        <v/>
      </c>
      <c r="C35" s="3">
        <f>IF(A35="","",ABS('Gamma Data'!B35)+ABS('Gamma Data'!C35))</f>
        <v/>
      </c>
      <c r="D35" s="4">
        <f>IF(A35="","",IF(C35=0,"-",IF(AND('Gamma Data'!B35&gt;0,'Gamma Data'!B35&gt;='Gamma Data'!C35*1.5),"Call Wall",IF(AND('Gamma Data'!C35&gt;0,'Gamma Data'!C35&gt;='Gamma Data'!B35*1.5),"Put Wall","(mixed)"))))</f>
        <v/>
      </c>
      <c r="E35" s="5">
        <f>IF(OR(A35="",$J$12=0),"",C35/$J$12)</f>
        <v/>
      </c>
      <c r="F35" s="4">
        <f>IF(A35="","",IF(C35&gt;=2*$J$12,"จุดหนืด",IF(C35&lt;=0.5*$J$12,"air pocket","")))</f>
        <v/>
      </c>
      <c r="H35" s="6">
        <f>IF(AND(A35&gt;=$J$6,'Gamma Data'!B35&gt;0,'Gamma Data'!B35&gt;='Gamma Data'!C35*1.5),'Gamma Data'!B35,0)</f>
        <v/>
      </c>
      <c r="AB35">
        <f>IF(NOT(ISNUMBER('Gamma Data'!A35)),"",IF((ABS('Gamma Data'!B35)+ABS('Gamma Data'!C35))=0,"",IF(OR(ABS('Gamma Data'!A35-$J$6)&gt;$J$6*$J$26,ABS('Gamma Data'!A35-$J$6)&lt;$J$28),"",(ABS('Gamma Data'!B35)+ABS('Gamma Data'!C35))/MAX(ABS('Gamma Data'!A35-$J$6)/($J$6*0.005),1)+ROW()/1000000000)))</f>
        <v/>
      </c>
    </row>
    <row r="36" ht="15" customHeight="1" s="35">
      <c r="A36" s="3">
        <f>IF('Gamma Data'!A36="","",'Gamma Data'!A36)</f>
        <v/>
      </c>
      <c r="B36" s="3">
        <f>IF(A36="","",'Gamma Data'!B36-'Gamma Data'!C36)</f>
        <v/>
      </c>
      <c r="C36" s="3">
        <f>IF(A36="","",ABS('Gamma Data'!B36)+ABS('Gamma Data'!C36))</f>
        <v/>
      </c>
      <c r="D36" s="4">
        <f>IF(A36="","",IF(C36=0,"-",IF(AND('Gamma Data'!B36&gt;0,'Gamma Data'!B36&gt;='Gamma Data'!C36*1.5),"Call Wall",IF(AND('Gamma Data'!C36&gt;0,'Gamma Data'!C36&gt;='Gamma Data'!B36*1.5),"Put Wall","(mixed)"))))</f>
        <v/>
      </c>
      <c r="E36" s="5">
        <f>IF(OR(A36="",$J$12=0),"",C36/$J$12)</f>
        <v/>
      </c>
      <c r="F36" s="4">
        <f>IF(A36="","",IF(C36&gt;=2*$J$12,"จุดหนืด",IF(C36&lt;=0.5*$J$12,"air pocket","")))</f>
        <v/>
      </c>
      <c r="H36" s="6">
        <f>IF(AND(A36&gt;=$J$6,'Gamma Data'!B36&gt;0,'Gamma Data'!B36&gt;='Gamma Data'!C36*1.5),'Gamma Data'!B36,0)</f>
        <v/>
      </c>
      <c r="W36">
        <f>IF(NOT(ISNUMBER('Gamma Data'!A36)),"",IF((ABS('Gamma Data'!B36)+ABS('Gamma Data'!C36))=0,"",IF(ABS('Gamma Data'!A36-$J$6)&gt;$J$6*$J$26,"",(ABS('Gamma Data'!B36)+ABS('Gamma Data'!C36))/MAX(ABS('Gamma Data'!A36-$J$6)/($J$6*0.005),1)+ROW()/1000000000)))</f>
        <v/>
      </c>
      <c r="AB36">
        <f>IF(NOT(ISNUMBER('Gamma Data'!A36)),"",IF((ABS('Gamma Data'!B36)+ABS('Gamma Data'!C36))=0,"",IF(OR(ABS('Gamma Data'!A36-$J$6)&gt;$J$6*$J$26,ABS('Gamma Data'!A36-$J$6)&lt;$J$28),"",(ABS('Gamma Data'!B36)+ABS('Gamma Data'!C36))/MAX(ABS('Gamma Data'!A36-$J$6)/($J$6*0.005),1)+ROW()/1000000000)))</f>
        <v/>
      </c>
    </row>
    <row r="37" ht="15" customHeight="1" s="35">
      <c r="A37" s="3">
        <f>IF('Gamma Data'!A37="","",'Gamma Data'!A37)</f>
        <v/>
      </c>
      <c r="B37" s="3">
        <f>IF(A37="","",'Gamma Data'!B37-'Gamma Data'!C37)</f>
        <v/>
      </c>
      <c r="C37" s="3">
        <f>IF(A37="","",ABS('Gamma Data'!B37)+ABS('Gamma Data'!C37))</f>
        <v/>
      </c>
      <c r="D37" s="4">
        <f>IF(A37="","",IF(C37=0,"-",IF(AND('Gamma Data'!B37&gt;0,'Gamma Data'!B37&gt;='Gamma Data'!C37*1.5),"Call Wall",IF(AND('Gamma Data'!C37&gt;0,'Gamma Data'!C37&gt;='Gamma Data'!B37*1.5),"Put Wall","(mixed)"))))</f>
        <v/>
      </c>
      <c r="E37" s="5">
        <f>IF(OR(A37="",$J$12=0),"",C37/$J$12)</f>
        <v/>
      </c>
      <c r="F37" s="4">
        <f>IF(A37="","",IF(C37&gt;=2*$J$12,"จุดหนืด",IF(C37&lt;=0.5*$J$12,"air pocket","")))</f>
        <v/>
      </c>
      <c r="H37" s="6">
        <f>IF(AND(A37&gt;=$J$6,'Gamma Data'!B37&gt;0,'Gamma Data'!B37&gt;='Gamma Data'!C37*1.5),'Gamma Data'!B37,0)</f>
        <v/>
      </c>
      <c r="W37">
        <f>IF(NOT(ISNUMBER('Gamma Data'!A37)),"",IF((ABS('Gamma Data'!B37)+ABS('Gamma Data'!C37))=0,"",IF(ABS('Gamma Data'!A37-$J$6)&gt;$J$6*$J$26,"",(ABS('Gamma Data'!B37)+ABS('Gamma Data'!C37))/MAX(ABS('Gamma Data'!A37-$J$6)/($J$6*0.005),1)+ROW()/1000000000)))</f>
        <v/>
      </c>
      <c r="AB37">
        <f>IF(NOT(ISNUMBER('Gamma Data'!A37)),"",IF((ABS('Gamma Data'!B37)+ABS('Gamma Data'!C37))=0,"",IF(OR(ABS('Gamma Data'!A37-$J$6)&gt;$J$6*$J$26,ABS('Gamma Data'!A37-$J$6)&lt;$J$28),"",(ABS('Gamma Data'!B37)+ABS('Gamma Data'!C37))/MAX(ABS('Gamma Data'!A37-$J$6)/($J$6*0.005),1)+ROW()/1000000000)))</f>
        <v/>
      </c>
    </row>
    <row r="38" ht="15" customHeight="1" s="35">
      <c r="A38" s="3">
        <f>IF('Gamma Data'!A38="","",'Gamma Data'!A38)</f>
        <v/>
      </c>
      <c r="B38" s="3">
        <f>IF(A38="","",'Gamma Data'!B38-'Gamma Data'!C38)</f>
        <v/>
      </c>
      <c r="C38" s="3">
        <f>IF(A38="","",ABS('Gamma Data'!B38)+ABS('Gamma Data'!C38))</f>
        <v/>
      </c>
      <c r="D38" s="4">
        <f>IF(A38="","",IF(C38=0,"-",IF(AND('Gamma Data'!B38&gt;0,'Gamma Data'!B38&gt;='Gamma Data'!C38*1.5),"Call Wall",IF(AND('Gamma Data'!C38&gt;0,'Gamma Data'!C38&gt;='Gamma Data'!B38*1.5),"Put Wall","(mixed)"))))</f>
        <v/>
      </c>
      <c r="E38" s="5">
        <f>IF(OR(A38="",$J$12=0),"",C38/$J$12)</f>
        <v/>
      </c>
      <c r="F38" s="4">
        <f>IF(A38="","",IF(C38&gt;=2*$J$12,"จุดหนืด",IF(C38&lt;=0.5*$J$12,"air pocket","")))</f>
        <v/>
      </c>
      <c r="H38" s="6">
        <f>IF(AND(A38&gt;=$J$6,'Gamma Data'!B38&gt;0,'Gamma Data'!B38&gt;='Gamma Data'!C38*1.5),'Gamma Data'!B38,0)</f>
        <v/>
      </c>
      <c r="W38">
        <f>IF(NOT(ISNUMBER('Gamma Data'!A38)),"",IF((ABS('Gamma Data'!B38)+ABS('Gamma Data'!C38))=0,"",IF(ABS('Gamma Data'!A38-$J$6)&gt;$J$6*$J$26,"",(ABS('Gamma Data'!B38)+ABS('Gamma Data'!C38))/MAX(ABS('Gamma Data'!A38-$J$6)/($J$6*0.005),1)+ROW()/1000000000)))</f>
        <v/>
      </c>
      <c r="AB38">
        <f>IF(NOT(ISNUMBER('Gamma Data'!A38)),"",IF((ABS('Gamma Data'!B38)+ABS('Gamma Data'!C38))=0,"",IF(OR(ABS('Gamma Data'!A38-$J$6)&gt;$J$6*$J$26,ABS('Gamma Data'!A38-$J$6)&lt;$J$28),"",(ABS('Gamma Data'!B38)+ABS('Gamma Data'!C38))/MAX(ABS('Gamma Data'!A38-$J$6)/($J$6*0.005),1)+ROW()/1000000000)))</f>
        <v/>
      </c>
    </row>
    <row r="39" ht="15" customHeight="1" s="35">
      <c r="A39" s="3">
        <f>IF('Gamma Data'!A39="","",'Gamma Data'!A39)</f>
        <v/>
      </c>
      <c r="B39" s="3">
        <f>IF(A39="","",'Gamma Data'!B39-'Gamma Data'!C39)</f>
        <v/>
      </c>
      <c r="C39" s="3">
        <f>IF(A39="","",ABS('Gamma Data'!B39)+ABS('Gamma Data'!C39))</f>
        <v/>
      </c>
      <c r="D39" s="4">
        <f>IF(A39="","",IF(C39=0,"-",IF(AND('Gamma Data'!B39&gt;0,'Gamma Data'!B39&gt;='Gamma Data'!C39*1.5),"Call Wall",IF(AND('Gamma Data'!C39&gt;0,'Gamma Data'!C39&gt;='Gamma Data'!B39*1.5),"Put Wall","(mixed)"))))</f>
        <v/>
      </c>
      <c r="E39" s="5">
        <f>IF(OR(A39="",$J$12=0),"",C39/$J$12)</f>
        <v/>
      </c>
      <c r="F39" s="4">
        <f>IF(A39="","",IF(C39&gt;=2*$J$12,"จุดหนืด",IF(C39&lt;=0.5*$J$12,"air pocket","")))</f>
        <v/>
      </c>
      <c r="H39" s="6">
        <f>IF(AND(A39&gt;=$J$6,'Gamma Data'!B39&gt;0,'Gamma Data'!B39&gt;='Gamma Data'!C39*1.5),'Gamma Data'!B39,0)</f>
        <v/>
      </c>
      <c r="W39">
        <f>IF(NOT(ISNUMBER('Gamma Data'!A39)),"",IF((ABS('Gamma Data'!B39)+ABS('Gamma Data'!C39))=0,"",IF(ABS('Gamma Data'!A39-$J$6)&gt;$J$6*$J$26,"",(ABS('Gamma Data'!B39)+ABS('Gamma Data'!C39))/MAX(ABS('Gamma Data'!A39-$J$6)/($J$6*0.005),1)+ROW()/1000000000)))</f>
        <v/>
      </c>
      <c r="AB39">
        <f>IF(NOT(ISNUMBER('Gamma Data'!A39)),"",IF((ABS('Gamma Data'!B39)+ABS('Gamma Data'!C39))=0,"",IF(OR(ABS('Gamma Data'!A39-$J$6)&gt;$J$6*$J$26,ABS('Gamma Data'!A39-$J$6)&lt;$J$28),"",(ABS('Gamma Data'!B39)+ABS('Gamma Data'!C39))/MAX(ABS('Gamma Data'!A39-$J$6)/($J$6*0.005),1)+ROW()/1000000000)))</f>
        <v/>
      </c>
    </row>
    <row r="40" ht="15" customHeight="1" s="35">
      <c r="A40" s="3">
        <f>IF('Gamma Data'!A40="","",'Gamma Data'!A40)</f>
        <v/>
      </c>
      <c r="B40" s="3">
        <f>IF(A40="","",'Gamma Data'!B40-'Gamma Data'!C40)</f>
        <v/>
      </c>
      <c r="C40" s="3">
        <f>IF(A40="","",ABS('Gamma Data'!B40)+ABS('Gamma Data'!C40))</f>
        <v/>
      </c>
      <c r="D40" s="4">
        <f>IF(A40="","",IF(C40=0,"-",IF(AND('Gamma Data'!B40&gt;0,'Gamma Data'!B40&gt;='Gamma Data'!C40*1.5),"Call Wall",IF(AND('Gamma Data'!C40&gt;0,'Gamma Data'!C40&gt;='Gamma Data'!B40*1.5),"Put Wall","(mixed)"))))</f>
        <v/>
      </c>
      <c r="E40" s="5">
        <f>IF(OR(A40="",$J$12=0),"",C40/$J$12)</f>
        <v/>
      </c>
      <c r="F40" s="4">
        <f>IF(A40="","",IF(C40&gt;=2*$J$12,"จุดหนืด",IF(C40&lt;=0.5*$J$12,"air pocket","")))</f>
        <v/>
      </c>
      <c r="H40" s="6">
        <f>IF(AND(A40&gt;=$J$6,'Gamma Data'!B40&gt;0,'Gamma Data'!B40&gt;='Gamma Data'!C40*1.5),'Gamma Data'!B40,0)</f>
        <v/>
      </c>
      <c r="W40">
        <f>IF(NOT(ISNUMBER('Gamma Data'!A40)),"",IF((ABS('Gamma Data'!B40)+ABS('Gamma Data'!C40))=0,"",IF(ABS('Gamma Data'!A40-$J$6)&gt;$J$6*$J$26,"",(ABS('Gamma Data'!B40)+ABS('Gamma Data'!C40))/MAX(ABS('Gamma Data'!A40-$J$6)/($J$6*0.005),1)+ROW()/1000000000)))</f>
        <v/>
      </c>
      <c r="AB40">
        <f>IF(NOT(ISNUMBER('Gamma Data'!A40)),"",IF((ABS('Gamma Data'!B40)+ABS('Gamma Data'!C40))=0,"",IF(OR(ABS('Gamma Data'!A40-$J$6)&gt;$J$6*$J$26,ABS('Gamma Data'!A40-$J$6)&lt;$J$28),"",(ABS('Gamma Data'!B40)+ABS('Gamma Data'!C40))/MAX(ABS('Gamma Data'!A40-$J$6)/($J$6*0.005),1)+ROW()/1000000000)))</f>
        <v/>
      </c>
    </row>
    <row r="41" ht="15" customHeight="1" s="35">
      <c r="A41" s="3">
        <f>IF('Gamma Data'!A41="","",'Gamma Data'!A41)</f>
        <v/>
      </c>
      <c r="B41" s="3">
        <f>IF(A41="","",'Gamma Data'!B41-'Gamma Data'!C41)</f>
        <v/>
      </c>
      <c r="C41" s="3">
        <f>IF(A41="","",ABS('Gamma Data'!B41)+ABS('Gamma Data'!C41))</f>
        <v/>
      </c>
      <c r="D41" s="4">
        <f>IF(A41="","",IF(C41=0,"-",IF(AND('Gamma Data'!B41&gt;0,'Gamma Data'!B41&gt;='Gamma Data'!C41*1.5),"Call Wall",IF(AND('Gamma Data'!C41&gt;0,'Gamma Data'!C41&gt;='Gamma Data'!B41*1.5),"Put Wall","(mixed)"))))</f>
        <v/>
      </c>
      <c r="E41" s="5">
        <f>IF(OR(A41="",$J$12=0),"",C41/$J$12)</f>
        <v/>
      </c>
      <c r="F41" s="4">
        <f>IF(A41="","",IF(C41&gt;=2*$J$12,"จุดหนืด",IF(C41&lt;=0.5*$J$12,"air pocket","")))</f>
        <v/>
      </c>
      <c r="H41" s="6">
        <f>IF(AND(A41&gt;=$J$6,'Gamma Data'!B41&gt;0,'Gamma Data'!B41&gt;='Gamma Data'!C41*1.5),'Gamma Data'!B41,0)</f>
        <v/>
      </c>
      <c r="W41">
        <f>IF(NOT(ISNUMBER('Gamma Data'!A41)),"",IF((ABS('Gamma Data'!B41)+ABS('Gamma Data'!C41))=0,"",IF(ABS('Gamma Data'!A41-$J$6)&gt;$J$6*$J$26,"",(ABS('Gamma Data'!B41)+ABS('Gamma Data'!C41))/MAX(ABS('Gamma Data'!A41-$J$6)/($J$6*0.005),1)+ROW()/1000000000)))</f>
        <v/>
      </c>
      <c r="AB41">
        <f>IF(NOT(ISNUMBER('Gamma Data'!A41)),"",IF((ABS('Gamma Data'!B41)+ABS('Gamma Data'!C41))=0,"",IF(OR(ABS('Gamma Data'!A41-$J$6)&gt;$J$6*$J$26,ABS('Gamma Data'!A41-$J$6)&lt;$J$28),"",(ABS('Gamma Data'!B41)+ABS('Gamma Data'!C41))/MAX(ABS('Gamma Data'!A41-$J$6)/($J$6*0.005),1)+ROW()/1000000000)))</f>
        <v/>
      </c>
    </row>
    <row r="42" ht="15" customHeight="1" s="35">
      <c r="A42" s="3">
        <f>IF('Gamma Data'!A42="","",'Gamma Data'!A42)</f>
        <v/>
      </c>
      <c r="B42" s="3">
        <f>IF(A42="","",'Gamma Data'!B42-'Gamma Data'!C42)</f>
        <v/>
      </c>
      <c r="C42" s="3">
        <f>IF(A42="","",ABS('Gamma Data'!B42)+ABS('Gamma Data'!C42))</f>
        <v/>
      </c>
      <c r="D42" s="4">
        <f>IF(A42="","",IF(C42=0,"-",IF(AND('Gamma Data'!B42&gt;0,'Gamma Data'!B42&gt;='Gamma Data'!C42*1.5),"Call Wall",IF(AND('Gamma Data'!C42&gt;0,'Gamma Data'!C42&gt;='Gamma Data'!B42*1.5),"Put Wall","(mixed)"))))</f>
        <v/>
      </c>
      <c r="E42" s="5">
        <f>IF(OR(A42="",$J$12=0),"",C42/$J$12)</f>
        <v/>
      </c>
      <c r="F42" s="4">
        <f>IF(A42="","",IF(C42&gt;=2*$J$12,"จุดหนืด",IF(C42&lt;=0.5*$J$12,"air pocket","")))</f>
        <v/>
      </c>
      <c r="H42" s="6">
        <f>IF(AND(A42&gt;=$J$6,'Gamma Data'!B42&gt;0,'Gamma Data'!B42&gt;='Gamma Data'!C42*1.5),'Gamma Data'!B42,0)</f>
        <v/>
      </c>
      <c r="AB42">
        <f>IF(NOT(ISNUMBER('Gamma Data'!A42)),"",IF((ABS('Gamma Data'!B42)+ABS('Gamma Data'!C42))=0,"",IF(OR(ABS('Gamma Data'!A42-$J$6)&gt;$J$6*$J$26,ABS('Gamma Data'!A42-$J$6)&lt;$J$28),"",(ABS('Gamma Data'!B42)+ABS('Gamma Data'!C42))/MAX(ABS('Gamma Data'!A42-$J$6)/($J$6*0.005),1)+ROW()/1000000000)))</f>
        <v/>
      </c>
    </row>
    <row r="43" ht="15" customHeight="1" s="35">
      <c r="A43" s="3">
        <f>IF('Gamma Data'!A43="","",'Gamma Data'!A43)</f>
        <v/>
      </c>
      <c r="B43" s="3">
        <f>IF(A43="","",'Gamma Data'!B43-'Gamma Data'!C43)</f>
        <v/>
      </c>
      <c r="C43" s="3">
        <f>IF(A43="","",ABS('Gamma Data'!B43)+ABS('Gamma Data'!C43))</f>
        <v/>
      </c>
      <c r="D43" s="4">
        <f>IF(A43="","",IF(C43=0,"-",IF(AND('Gamma Data'!B43&gt;0,'Gamma Data'!B43&gt;='Gamma Data'!C43*1.5),"Call Wall",IF(AND('Gamma Data'!C43&gt;0,'Gamma Data'!C43&gt;='Gamma Data'!B43*1.5),"Put Wall","(mixed)"))))</f>
        <v/>
      </c>
      <c r="E43" s="5">
        <f>IF(OR(A43="",$J$12=0),"",C43/$J$12)</f>
        <v/>
      </c>
      <c r="F43" s="4">
        <f>IF(A43="","",IF(C43&gt;=2*$J$12,"จุดหนืด",IF(C43&lt;=0.5*$J$12,"air pocket","")))</f>
        <v/>
      </c>
      <c r="H43" s="6">
        <f>IF(AND(A43&gt;=$J$6,'Gamma Data'!B43&gt;0,'Gamma Data'!B43&gt;='Gamma Data'!C43*1.5),'Gamma Data'!B43,0)</f>
        <v/>
      </c>
      <c r="AB43">
        <f>IF(NOT(ISNUMBER('Gamma Data'!A43)),"",IF((ABS('Gamma Data'!B43)+ABS('Gamma Data'!C43))=0,"",IF(OR(ABS('Gamma Data'!A43-$J$6)&gt;$J$6*$J$26,ABS('Gamma Data'!A43-$J$6)&lt;$J$28),"",(ABS('Gamma Data'!B43)+ABS('Gamma Data'!C43))/MAX(ABS('Gamma Data'!A43-$J$6)/($J$6*0.005),1)+ROW()/1000000000)))</f>
        <v/>
      </c>
    </row>
    <row r="44" ht="15" customHeight="1" s="35">
      <c r="A44" s="3">
        <f>IF('Gamma Data'!A44="","",'Gamma Data'!A44)</f>
        <v/>
      </c>
      <c r="B44" s="3">
        <f>IF(A44="","",'Gamma Data'!B44-'Gamma Data'!C44)</f>
        <v/>
      </c>
      <c r="C44" s="3">
        <f>IF(A44="","",ABS('Gamma Data'!B44)+ABS('Gamma Data'!C44))</f>
        <v/>
      </c>
      <c r="D44" s="4">
        <f>IF(A44="","",IF(C44=0,"-",IF(AND('Gamma Data'!B44&gt;0,'Gamma Data'!B44&gt;='Gamma Data'!C44*1.5),"Call Wall",IF(AND('Gamma Data'!C44&gt;0,'Gamma Data'!C44&gt;='Gamma Data'!B44*1.5),"Put Wall","(mixed)"))))</f>
        <v/>
      </c>
      <c r="E44" s="5">
        <f>IF(OR(A44="",$J$12=0),"",C44/$J$12)</f>
        <v/>
      </c>
      <c r="F44" s="4">
        <f>IF(A44="","",IF(C44&gt;=2*$J$12,"จุดหนืด",IF(C44&lt;=0.5*$J$12,"air pocket","")))</f>
        <v/>
      </c>
      <c r="H44" s="6">
        <f>IF(AND(A44&gt;=$J$6,'Gamma Data'!B44&gt;0,'Gamma Data'!B44&gt;='Gamma Data'!C44*1.5),'Gamma Data'!B44,0)</f>
        <v/>
      </c>
      <c r="AB44">
        <f>IF(NOT(ISNUMBER('Gamma Data'!A44)),"",IF((ABS('Gamma Data'!B44)+ABS('Gamma Data'!C44))=0,"",IF(OR(ABS('Gamma Data'!A44-$J$6)&gt;$J$6*$J$26,ABS('Gamma Data'!A44-$J$6)&lt;$J$28),"",(ABS('Gamma Data'!B44)+ABS('Gamma Data'!C44))/MAX(ABS('Gamma Data'!A44-$J$6)/($J$6*0.005),1)+ROW()/1000000000)))</f>
        <v/>
      </c>
    </row>
    <row r="45" ht="15" customHeight="1" s="35">
      <c r="A45" s="3">
        <f>IF('Gamma Data'!A45="","",'Gamma Data'!A45)</f>
        <v/>
      </c>
      <c r="B45" s="3">
        <f>IF(A45="","",'Gamma Data'!B45-'Gamma Data'!C45)</f>
        <v/>
      </c>
      <c r="C45" s="3">
        <f>IF(A45="","",ABS('Gamma Data'!B45)+ABS('Gamma Data'!C45))</f>
        <v/>
      </c>
      <c r="D45" s="4">
        <f>IF(A45="","",IF(C45=0,"-",IF(AND('Gamma Data'!B45&gt;0,'Gamma Data'!B45&gt;='Gamma Data'!C45*1.5),"Call Wall",IF(AND('Gamma Data'!C45&gt;0,'Gamma Data'!C45&gt;='Gamma Data'!B45*1.5),"Put Wall","(mixed)"))))</f>
        <v/>
      </c>
      <c r="E45" s="5">
        <f>IF(OR(A45="",$J$12=0),"",C45/$J$12)</f>
        <v/>
      </c>
      <c r="F45" s="4">
        <f>IF(A45="","",IF(C45&gt;=2*$J$12,"จุดหนืด",IF(C45&lt;=0.5*$J$12,"air pocket","")))</f>
        <v/>
      </c>
      <c r="H45" s="6">
        <f>IF(AND(A45&gt;=$J$6,'Gamma Data'!B45&gt;0,'Gamma Data'!B45&gt;='Gamma Data'!C45*1.5),'Gamma Data'!B45,0)</f>
        <v/>
      </c>
      <c r="AB45">
        <f>IF(NOT(ISNUMBER('Gamma Data'!A45)),"",IF((ABS('Gamma Data'!B45)+ABS('Gamma Data'!C45))=0,"",IF(OR(ABS('Gamma Data'!A45-$J$6)&gt;$J$6*$J$26,ABS('Gamma Data'!A45-$J$6)&lt;$J$28),"",(ABS('Gamma Data'!B45)+ABS('Gamma Data'!C45))/MAX(ABS('Gamma Data'!A45-$J$6)/($J$6*0.005),1)+ROW()/1000000000)))</f>
        <v/>
      </c>
    </row>
    <row r="46" ht="15" customHeight="1" s="35">
      <c r="A46" s="3">
        <f>IF('Gamma Data'!A46="","",'Gamma Data'!A46)</f>
        <v/>
      </c>
      <c r="B46" s="3">
        <f>IF(A46="","",'Gamma Data'!B46-'Gamma Data'!C46)</f>
        <v/>
      </c>
      <c r="C46" s="3">
        <f>IF(A46="","",ABS('Gamma Data'!B46)+ABS('Gamma Data'!C46))</f>
        <v/>
      </c>
      <c r="D46" s="4">
        <f>IF(A46="","",IF(C46=0,"-",IF(AND('Gamma Data'!B46&gt;0,'Gamma Data'!B46&gt;='Gamma Data'!C46*1.5),"Call Wall",IF(AND('Gamma Data'!C46&gt;0,'Gamma Data'!C46&gt;='Gamma Data'!B46*1.5),"Put Wall","(mixed)"))))</f>
        <v/>
      </c>
      <c r="E46" s="5">
        <f>IF(OR(A46="",$J$12=0),"",C46/$J$12)</f>
        <v/>
      </c>
      <c r="F46" s="4">
        <f>IF(A46="","",IF(C46&gt;=2*$J$12,"จุดหนืด",IF(C46&lt;=0.5*$J$12,"air pocket","")))</f>
        <v/>
      </c>
      <c r="H46" s="6">
        <f>IF(AND(A46&gt;=$J$6,'Gamma Data'!B46&gt;0,'Gamma Data'!B46&gt;='Gamma Data'!C46*1.5),'Gamma Data'!B46,0)</f>
        <v/>
      </c>
      <c r="AB46">
        <f>IF(NOT(ISNUMBER('Gamma Data'!A46)),"",IF((ABS('Gamma Data'!B46)+ABS('Gamma Data'!C46))=0,"",IF(OR(ABS('Gamma Data'!A46-$J$6)&gt;$J$6*$J$26,ABS('Gamma Data'!A46-$J$6)&lt;$J$28),"",(ABS('Gamma Data'!B46)+ABS('Gamma Data'!C46))/MAX(ABS('Gamma Data'!A46-$J$6)/($J$6*0.005),1)+ROW()/1000000000)))</f>
        <v/>
      </c>
    </row>
    <row r="47" ht="15" customHeight="1" s="35">
      <c r="A47" s="3">
        <f>IF('Gamma Data'!A47="","",'Gamma Data'!A47)</f>
        <v/>
      </c>
      <c r="B47" s="3">
        <f>IF(A47="","",'Gamma Data'!B47-'Gamma Data'!C47)</f>
        <v/>
      </c>
      <c r="C47" s="3">
        <f>IF(A47="","",ABS('Gamma Data'!B47)+ABS('Gamma Data'!C47))</f>
        <v/>
      </c>
      <c r="D47" s="4">
        <f>IF(A47="","",IF(C47=0,"-",IF(AND('Gamma Data'!B47&gt;0,'Gamma Data'!B47&gt;='Gamma Data'!C47*1.5),"Call Wall",IF(AND('Gamma Data'!C47&gt;0,'Gamma Data'!C47&gt;='Gamma Data'!B47*1.5),"Put Wall","(mixed)"))))</f>
        <v/>
      </c>
      <c r="E47" s="5">
        <f>IF(OR(A47="",$J$12=0),"",C47/$J$12)</f>
        <v/>
      </c>
      <c r="F47" s="4">
        <f>IF(A47="","",IF(C47&gt;=2*$J$12,"จุดหนืด",IF(C47&lt;=0.5*$J$12,"air pocket","")))</f>
        <v/>
      </c>
      <c r="H47" s="6">
        <f>IF(AND(A47&gt;=$J$6,'Gamma Data'!B47&gt;0,'Gamma Data'!B47&gt;='Gamma Data'!C47*1.5),'Gamma Data'!B47,0)</f>
        <v/>
      </c>
      <c r="AB47">
        <f>IF(NOT(ISNUMBER('Gamma Data'!A47)),"",IF((ABS('Gamma Data'!B47)+ABS('Gamma Data'!C47))=0,"",IF(OR(ABS('Gamma Data'!A47-$J$6)&gt;$J$6*$J$26,ABS('Gamma Data'!A47-$J$6)&lt;$J$28),"",(ABS('Gamma Data'!B47)+ABS('Gamma Data'!C47))/MAX(ABS('Gamma Data'!A47-$J$6)/($J$6*0.005),1)+ROW()/1000000000)))</f>
        <v/>
      </c>
    </row>
    <row r="48" ht="15" customHeight="1" s="35">
      <c r="A48" s="3">
        <f>IF('Gamma Data'!A48="","",'Gamma Data'!A48)</f>
        <v/>
      </c>
      <c r="B48" s="3">
        <f>IF(A48="","",'Gamma Data'!B48-'Gamma Data'!C48)</f>
        <v/>
      </c>
      <c r="C48" s="3">
        <f>IF(A48="","",ABS('Gamma Data'!B48)+ABS('Gamma Data'!C48))</f>
        <v/>
      </c>
      <c r="D48" s="4">
        <f>IF(A48="","",IF(C48=0,"-",IF(AND('Gamma Data'!B48&gt;0,'Gamma Data'!B48&gt;='Gamma Data'!C48*1.5),"Call Wall",IF(AND('Gamma Data'!C48&gt;0,'Gamma Data'!C48&gt;='Gamma Data'!B48*1.5),"Put Wall","(mixed)"))))</f>
        <v/>
      </c>
      <c r="E48" s="5">
        <f>IF(OR(A48="",$J$12=0),"",C48/$J$12)</f>
        <v/>
      </c>
      <c r="F48" s="4">
        <f>IF(A48="","",IF(C48&gt;=2*$J$12,"จุดหนืด",IF(C48&lt;=0.5*$J$12,"air pocket","")))</f>
        <v/>
      </c>
      <c r="H48" s="6">
        <f>IF(AND(A48&gt;=$J$6,'Gamma Data'!B48&gt;0,'Gamma Data'!B48&gt;='Gamma Data'!C48*1.5),'Gamma Data'!B48,0)</f>
        <v/>
      </c>
      <c r="AB48">
        <f>IF(NOT(ISNUMBER('Gamma Data'!A48)),"",IF((ABS('Gamma Data'!B48)+ABS('Gamma Data'!C48))=0,"",IF(OR(ABS('Gamma Data'!A48-$J$6)&gt;$J$6*$J$26,ABS('Gamma Data'!A48-$J$6)&lt;$J$28),"",(ABS('Gamma Data'!B48)+ABS('Gamma Data'!C48))/MAX(ABS('Gamma Data'!A48-$J$6)/($J$6*0.005),1)+ROW()/1000000000)))</f>
        <v/>
      </c>
    </row>
    <row r="49" ht="15" customHeight="1" s="35">
      <c r="A49" s="3">
        <f>IF('Gamma Data'!A49="","",'Gamma Data'!A49)</f>
        <v/>
      </c>
      <c r="B49" s="3">
        <f>IF(A49="","",'Gamma Data'!B49-'Gamma Data'!C49)</f>
        <v/>
      </c>
      <c r="C49" s="3">
        <f>IF(A49="","",ABS('Gamma Data'!B49)+ABS('Gamma Data'!C49))</f>
        <v/>
      </c>
      <c r="D49" s="4">
        <f>IF(A49="","",IF(C49=0,"-",IF(AND('Gamma Data'!B49&gt;0,'Gamma Data'!B49&gt;='Gamma Data'!C49*1.5),"Call Wall",IF(AND('Gamma Data'!C49&gt;0,'Gamma Data'!C49&gt;='Gamma Data'!B49*1.5),"Put Wall","(mixed)"))))</f>
        <v/>
      </c>
      <c r="E49" s="5">
        <f>IF(OR(A49="",$J$12=0),"",C49/$J$12)</f>
        <v/>
      </c>
      <c r="F49" s="4">
        <f>IF(A49="","",IF(C49&gt;=2*$J$12,"จุดหนืด",IF(C49&lt;=0.5*$J$12,"air pocket","")))</f>
        <v/>
      </c>
      <c r="H49" s="6">
        <f>IF(AND(A49&gt;=$J$6,'Gamma Data'!B49&gt;0,'Gamma Data'!B49&gt;='Gamma Data'!C49*1.5),'Gamma Data'!B49,0)</f>
        <v/>
      </c>
      <c r="AB49">
        <f>IF(NOT(ISNUMBER('Gamma Data'!A49)),"",IF((ABS('Gamma Data'!B49)+ABS('Gamma Data'!C49))=0,"",IF(OR(ABS('Gamma Data'!A49-$J$6)&gt;$J$6*$J$26,ABS('Gamma Data'!A49-$J$6)&lt;$J$28),"",(ABS('Gamma Data'!B49)+ABS('Gamma Data'!C49))/MAX(ABS('Gamma Data'!A49-$J$6)/($J$6*0.005),1)+ROW()/1000000000)))</f>
        <v/>
      </c>
    </row>
    <row r="50" ht="15" customHeight="1" s="35">
      <c r="A50" s="3">
        <f>IF('Gamma Data'!A50="","",'Gamma Data'!A50)</f>
        <v/>
      </c>
      <c r="B50" s="3">
        <f>IF(A50="","",'Gamma Data'!B50-'Gamma Data'!C50)</f>
        <v/>
      </c>
      <c r="C50" s="3">
        <f>IF(A50="","",ABS('Gamma Data'!B50)+ABS('Gamma Data'!C50))</f>
        <v/>
      </c>
      <c r="D50" s="4">
        <f>IF(A50="","",IF(C50=0,"-",IF(AND('Gamma Data'!B50&gt;0,'Gamma Data'!B50&gt;='Gamma Data'!C50*1.5),"Call Wall",IF(AND('Gamma Data'!C50&gt;0,'Gamma Data'!C50&gt;='Gamma Data'!B50*1.5),"Put Wall","(mixed)"))))</f>
        <v/>
      </c>
      <c r="E50" s="5">
        <f>IF(OR(A50="",$J$12=0),"",C50/$J$12)</f>
        <v/>
      </c>
      <c r="F50" s="4">
        <f>IF(A50="","",IF(C50&gt;=2*$J$12,"จุดหนืด",IF(C50&lt;=0.5*$J$12,"air pocket","")))</f>
        <v/>
      </c>
      <c r="H50" s="6">
        <f>IF(AND(A50&gt;=$J$6,'Gamma Data'!B50&gt;0,'Gamma Data'!B50&gt;='Gamma Data'!C50*1.5),'Gamma Data'!B50,0)</f>
        <v/>
      </c>
      <c r="AB50">
        <f>IF(NOT(ISNUMBER('Gamma Data'!A50)),"",IF((ABS('Gamma Data'!B50)+ABS('Gamma Data'!C50))=0,"",IF(OR(ABS('Gamma Data'!A50-$J$6)&gt;$J$6*$J$26,ABS('Gamma Data'!A50-$J$6)&lt;$J$28),"",(ABS('Gamma Data'!B50)+ABS('Gamma Data'!C50))/MAX(ABS('Gamma Data'!A50-$J$6)/($J$6*0.005),1)+ROW()/1000000000)))</f>
        <v/>
      </c>
    </row>
    <row r="51" ht="15" customHeight="1" s="35">
      <c r="A51" s="3">
        <f>IF('Gamma Data'!A51="","",'Gamma Data'!A51)</f>
        <v/>
      </c>
      <c r="B51" s="3">
        <f>IF(A51="","",'Gamma Data'!B51-'Gamma Data'!C51)</f>
        <v/>
      </c>
      <c r="C51" s="3">
        <f>IF(A51="","",ABS('Gamma Data'!B51)+ABS('Gamma Data'!C51))</f>
        <v/>
      </c>
      <c r="D51" s="4">
        <f>IF(A51="","",IF(C51=0,"-",IF(AND('Gamma Data'!B51&gt;0,'Gamma Data'!B51&gt;='Gamma Data'!C51*1.5),"Call Wall",IF(AND('Gamma Data'!C51&gt;0,'Gamma Data'!C51&gt;='Gamma Data'!B51*1.5),"Put Wall","(mixed)"))))</f>
        <v/>
      </c>
      <c r="E51" s="5">
        <f>IF(OR(A51="",$J$12=0),"",C51/$J$12)</f>
        <v/>
      </c>
      <c r="F51" s="4">
        <f>IF(A51="","",IF(C51&gt;=2*$J$12,"จุดหนืด",IF(C51&lt;=0.5*$J$12,"air pocket","")))</f>
        <v/>
      </c>
      <c r="H51" s="6">
        <f>IF(AND(A51&gt;=$J$6,'Gamma Data'!B51&gt;0,'Gamma Data'!B51&gt;='Gamma Data'!C51*1.5),'Gamma Data'!B51,0)</f>
        <v/>
      </c>
      <c r="AB51">
        <f>IF(NOT(ISNUMBER('Gamma Data'!A51)),"",IF((ABS('Gamma Data'!B51)+ABS('Gamma Data'!C51))=0,"",IF(OR(ABS('Gamma Data'!A51-$J$6)&gt;$J$6*$J$26,ABS('Gamma Data'!A51-$J$6)&lt;$J$28),"",(ABS('Gamma Data'!B51)+ABS('Gamma Data'!C51))/MAX(ABS('Gamma Data'!A51-$J$6)/($J$6*0.005),1)+ROW()/1000000000)))</f>
        <v/>
      </c>
    </row>
    <row r="52" ht="15" customHeight="1" s="35">
      <c r="A52" s="3">
        <f>IF('Gamma Data'!A52="","",'Gamma Data'!A52)</f>
        <v/>
      </c>
      <c r="B52" s="3">
        <f>IF(A52="","",'Gamma Data'!B52-'Gamma Data'!C52)</f>
        <v/>
      </c>
      <c r="C52" s="3">
        <f>IF(A52="","",ABS('Gamma Data'!B52)+ABS('Gamma Data'!C52))</f>
        <v/>
      </c>
      <c r="D52" s="4">
        <f>IF(A52="","",IF(C52=0,"-",IF(AND('Gamma Data'!B52&gt;0,'Gamma Data'!B52&gt;='Gamma Data'!C52*1.5),"Call Wall",IF(AND('Gamma Data'!C52&gt;0,'Gamma Data'!C52&gt;='Gamma Data'!B52*1.5),"Put Wall","(mixed)"))))</f>
        <v/>
      </c>
      <c r="E52" s="5">
        <f>IF(OR(A52="",$J$12=0),"",C52/$J$12)</f>
        <v/>
      </c>
      <c r="F52" s="4">
        <f>IF(A52="","",IF(C52&gt;=2*$J$12,"จุดหนืด",IF(C52&lt;=0.5*$J$12,"air pocket","")))</f>
        <v/>
      </c>
      <c r="H52" s="6">
        <f>IF(AND(A52&gt;=$J$6,'Gamma Data'!B52&gt;0,'Gamma Data'!B52&gt;='Gamma Data'!C52*1.5),'Gamma Data'!B52,0)</f>
        <v/>
      </c>
      <c r="AB52">
        <f>IF(NOT(ISNUMBER('Gamma Data'!A52)),"",IF((ABS('Gamma Data'!B52)+ABS('Gamma Data'!C52))=0,"",IF(OR(ABS('Gamma Data'!A52-$J$6)&gt;$J$6*$J$26,ABS('Gamma Data'!A52-$J$6)&lt;$J$28),"",(ABS('Gamma Data'!B52)+ABS('Gamma Data'!C52))/MAX(ABS('Gamma Data'!A52-$J$6)/($J$6*0.005),1)+ROW()/1000000000)))</f>
        <v/>
      </c>
    </row>
    <row r="53" ht="15" customHeight="1" s="35">
      <c r="A53" s="3">
        <f>IF('Gamma Data'!A53="","",'Gamma Data'!A53)</f>
        <v/>
      </c>
      <c r="B53" s="3">
        <f>IF(A53="","",'Gamma Data'!B53-'Gamma Data'!C53)</f>
        <v/>
      </c>
      <c r="C53" s="3">
        <f>IF(A53="","",ABS('Gamma Data'!B53)+ABS('Gamma Data'!C53))</f>
        <v/>
      </c>
      <c r="D53" s="4">
        <f>IF(A53="","",IF(C53=0,"-",IF(AND('Gamma Data'!B53&gt;0,'Gamma Data'!B53&gt;='Gamma Data'!C53*1.5),"Call Wall",IF(AND('Gamma Data'!C53&gt;0,'Gamma Data'!C53&gt;='Gamma Data'!B53*1.5),"Put Wall","(mixed)"))))</f>
        <v/>
      </c>
      <c r="E53" s="5">
        <f>IF(OR(A53="",$J$12=0),"",C53/$J$12)</f>
        <v/>
      </c>
      <c r="F53" s="4">
        <f>IF(A53="","",IF(C53&gt;=2*$J$12,"จุดหนืด",IF(C53&lt;=0.5*$J$12,"air pocket","")))</f>
        <v/>
      </c>
      <c r="H53" s="6">
        <f>IF(AND(A53&gt;=$J$6,'Gamma Data'!B53&gt;0,'Gamma Data'!B53&gt;='Gamma Data'!C53*1.5),'Gamma Data'!B53,0)</f>
        <v/>
      </c>
      <c r="AB53">
        <f>IF(NOT(ISNUMBER('Gamma Data'!A53)),"",IF((ABS('Gamma Data'!B53)+ABS('Gamma Data'!C53))=0,"",IF(OR(ABS('Gamma Data'!A53-$J$6)&gt;$J$6*$J$26,ABS('Gamma Data'!A53-$J$6)&lt;$J$28),"",(ABS('Gamma Data'!B53)+ABS('Gamma Data'!C53))/MAX(ABS('Gamma Data'!A53-$J$6)/($J$6*0.005),1)+ROW()/1000000000)))</f>
        <v/>
      </c>
    </row>
    <row r="54" ht="15" customHeight="1" s="35">
      <c r="A54" s="3">
        <f>IF('Gamma Data'!A54="","",'Gamma Data'!A54)</f>
        <v/>
      </c>
      <c r="B54" s="3">
        <f>IF(A54="","",'Gamma Data'!B54-'Gamma Data'!C54)</f>
        <v/>
      </c>
      <c r="C54" s="3">
        <f>IF(A54="","",ABS('Gamma Data'!B54)+ABS('Gamma Data'!C54))</f>
        <v/>
      </c>
      <c r="D54" s="4">
        <f>IF(A54="","",IF(C54=0,"-",IF(AND('Gamma Data'!B54&gt;0,'Gamma Data'!B54&gt;='Gamma Data'!C54*1.5),"Call Wall",IF(AND('Gamma Data'!C54&gt;0,'Gamma Data'!C54&gt;='Gamma Data'!B54*1.5),"Put Wall","(mixed)"))))</f>
        <v/>
      </c>
      <c r="E54" s="5">
        <f>IF(OR(A54="",$J$12=0),"",C54/$J$12)</f>
        <v/>
      </c>
      <c r="F54" s="4">
        <f>IF(A54="","",IF(C54&gt;=2*$J$12,"จุดหนืด",IF(C54&lt;=0.5*$J$12,"air pocket","")))</f>
        <v/>
      </c>
      <c r="H54" s="6">
        <f>IF(AND(A54&gt;=$J$6,'Gamma Data'!B54&gt;0,'Gamma Data'!B54&gt;='Gamma Data'!C54*1.5),'Gamma Data'!B54,0)</f>
        <v/>
      </c>
      <c r="AB54">
        <f>IF(NOT(ISNUMBER('Gamma Data'!A54)),"",IF((ABS('Gamma Data'!B54)+ABS('Gamma Data'!C54))=0,"",IF(OR(ABS('Gamma Data'!A54-$J$6)&gt;$J$6*$J$26,ABS('Gamma Data'!A54-$J$6)&lt;$J$28),"",(ABS('Gamma Data'!B54)+ABS('Gamma Data'!C54))/MAX(ABS('Gamma Data'!A54-$J$6)/($J$6*0.005),1)+ROW()/1000000000)))</f>
        <v/>
      </c>
    </row>
    <row r="55" ht="15" customHeight="1" s="35">
      <c r="A55" s="3">
        <f>IF('Gamma Data'!A55="","",'Gamma Data'!A55)</f>
        <v/>
      </c>
      <c r="B55" s="3">
        <f>IF(A55="","",'Gamma Data'!B55-'Gamma Data'!C55)</f>
        <v/>
      </c>
      <c r="C55" s="3">
        <f>IF(A55="","",ABS('Gamma Data'!B55)+ABS('Gamma Data'!C55))</f>
        <v/>
      </c>
      <c r="D55" s="4">
        <f>IF(A55="","",IF(C55=0,"-",IF(AND('Gamma Data'!B55&gt;0,'Gamma Data'!B55&gt;='Gamma Data'!C55*1.5),"Call Wall",IF(AND('Gamma Data'!C55&gt;0,'Gamma Data'!C55&gt;='Gamma Data'!B55*1.5),"Put Wall","(mixed)"))))</f>
        <v/>
      </c>
      <c r="E55" s="5">
        <f>IF(OR(A55="",$J$12=0),"",C55/$J$12)</f>
        <v/>
      </c>
      <c r="F55" s="4">
        <f>IF(A55="","",IF(C55&gt;=2*$J$12,"จุดหนืด",IF(C55&lt;=0.5*$J$12,"air pocket","")))</f>
        <v/>
      </c>
      <c r="H55" s="6">
        <f>IF(AND(A55&gt;=$J$6,'Gamma Data'!B55&gt;0,'Gamma Data'!B55&gt;='Gamma Data'!C55*1.5),'Gamma Data'!B55,0)</f>
        <v/>
      </c>
      <c r="AB55">
        <f>IF(NOT(ISNUMBER('Gamma Data'!A55)),"",IF((ABS('Gamma Data'!B55)+ABS('Gamma Data'!C55))=0,"",IF(OR(ABS('Gamma Data'!A55-$J$6)&gt;$J$6*$J$26,ABS('Gamma Data'!A55-$J$6)&lt;$J$28),"",(ABS('Gamma Data'!B55)+ABS('Gamma Data'!C55))/MAX(ABS('Gamma Data'!A55-$J$6)/($J$6*0.005),1)+ROW()/1000000000)))</f>
        <v/>
      </c>
    </row>
    <row r="56" ht="15" customHeight="1" s="35">
      <c r="A56" s="3">
        <f>IF('Gamma Data'!A56="","",'Gamma Data'!A56)</f>
        <v/>
      </c>
      <c r="B56" s="3">
        <f>IF(A56="","",'Gamma Data'!B56-'Gamma Data'!C56)</f>
        <v/>
      </c>
      <c r="C56" s="3">
        <f>IF(A56="","",ABS('Gamma Data'!B56)+ABS('Gamma Data'!C56))</f>
        <v/>
      </c>
      <c r="D56" s="4">
        <f>IF(A56="","",IF(C56=0,"-",IF(AND('Gamma Data'!B56&gt;0,'Gamma Data'!B56&gt;='Gamma Data'!C56*1.5),"Call Wall",IF(AND('Gamma Data'!C56&gt;0,'Gamma Data'!C56&gt;='Gamma Data'!B56*1.5),"Put Wall","(mixed)"))))</f>
        <v/>
      </c>
      <c r="E56" s="5">
        <f>IF(OR(A56="",$J$12=0),"",C56/$J$12)</f>
        <v/>
      </c>
      <c r="F56" s="4">
        <f>IF(A56="","",IF(C56&gt;=2*$J$12,"จุดหนืด",IF(C56&lt;=0.5*$J$12,"air pocket","")))</f>
        <v/>
      </c>
      <c r="H56" s="6">
        <f>IF(AND(A56&gt;=$J$6,'Gamma Data'!B56&gt;0,'Gamma Data'!B56&gt;='Gamma Data'!C56*1.5),'Gamma Data'!B56,0)</f>
        <v/>
      </c>
      <c r="AB56">
        <f>IF(NOT(ISNUMBER('Gamma Data'!A56)),"",IF((ABS('Gamma Data'!B56)+ABS('Gamma Data'!C56))=0,"",IF(OR(ABS('Gamma Data'!A56-$J$6)&gt;$J$6*$J$26,ABS('Gamma Data'!A56-$J$6)&lt;$J$28),"",(ABS('Gamma Data'!B56)+ABS('Gamma Data'!C56))/MAX(ABS('Gamma Data'!A56-$J$6)/($J$6*0.005),1)+ROW()/1000000000)))</f>
        <v/>
      </c>
    </row>
    <row r="57" ht="15" customHeight="1" s="35">
      <c r="A57" s="3">
        <f>IF('Gamma Data'!A57="","",'Gamma Data'!A57)</f>
        <v/>
      </c>
      <c r="B57" s="3">
        <f>IF(A57="","",'Gamma Data'!B57-'Gamma Data'!C57)</f>
        <v/>
      </c>
      <c r="C57" s="3">
        <f>IF(A57="","",ABS('Gamma Data'!B57)+ABS('Gamma Data'!C57))</f>
        <v/>
      </c>
      <c r="D57" s="4">
        <f>IF(A57="","",IF(C57=0,"-",IF(AND('Gamma Data'!B57&gt;0,'Gamma Data'!B57&gt;='Gamma Data'!C57*1.5),"Call Wall",IF(AND('Gamma Data'!C57&gt;0,'Gamma Data'!C57&gt;='Gamma Data'!B57*1.5),"Put Wall","(mixed)"))))</f>
        <v/>
      </c>
      <c r="E57" s="5">
        <f>IF(OR(A57="",$J$12=0),"",C57/$J$12)</f>
        <v/>
      </c>
      <c r="F57" s="4">
        <f>IF(A57="","",IF(C57&gt;=2*$J$12,"จุดหนืด",IF(C57&lt;=0.5*$J$12,"air pocket","")))</f>
        <v/>
      </c>
      <c r="H57" s="6">
        <f>IF(AND(A57&gt;=$J$6,'Gamma Data'!B57&gt;0,'Gamma Data'!B57&gt;='Gamma Data'!C57*1.5),'Gamma Data'!B57,0)</f>
        <v/>
      </c>
      <c r="AB57">
        <f>IF(NOT(ISNUMBER('Gamma Data'!A57)),"",IF((ABS('Gamma Data'!B57)+ABS('Gamma Data'!C57))=0,"",IF(OR(ABS('Gamma Data'!A57-$J$6)&gt;$J$6*$J$26,ABS('Gamma Data'!A57-$J$6)&lt;$J$28),"",(ABS('Gamma Data'!B57)+ABS('Gamma Data'!C57))/MAX(ABS('Gamma Data'!A57-$J$6)/($J$6*0.005),1)+ROW()/1000000000)))</f>
        <v/>
      </c>
    </row>
    <row r="58" ht="15" customHeight="1" s="35">
      <c r="A58" s="3">
        <f>IF('Gamma Data'!A58="","",'Gamma Data'!A58)</f>
        <v/>
      </c>
      <c r="B58" s="3">
        <f>IF(A58="","",'Gamma Data'!B58-'Gamma Data'!C58)</f>
        <v/>
      </c>
      <c r="C58" s="3">
        <f>IF(A58="","",ABS('Gamma Data'!B58)+ABS('Gamma Data'!C58))</f>
        <v/>
      </c>
      <c r="D58" s="4">
        <f>IF(A58="","",IF(C58=0,"-",IF(AND('Gamma Data'!B58&gt;0,'Gamma Data'!B58&gt;='Gamma Data'!C58*1.5),"Call Wall",IF(AND('Gamma Data'!C58&gt;0,'Gamma Data'!C58&gt;='Gamma Data'!B58*1.5),"Put Wall","(mixed)"))))</f>
        <v/>
      </c>
      <c r="E58" s="5">
        <f>IF(OR(A58="",$J$12=0),"",C58/$J$12)</f>
        <v/>
      </c>
      <c r="F58" s="4">
        <f>IF(A58="","",IF(C58&gt;=2*$J$12,"จุดหนืด",IF(C58&lt;=0.5*$J$12,"air pocket","")))</f>
        <v/>
      </c>
      <c r="H58" s="6">
        <f>IF(AND(A58&gt;=$J$6,'Gamma Data'!B58&gt;0,'Gamma Data'!B58&gt;='Gamma Data'!C58*1.5),'Gamma Data'!B58,0)</f>
        <v/>
      </c>
      <c r="AB58">
        <f>IF(NOT(ISNUMBER('Gamma Data'!A58)),"",IF((ABS('Gamma Data'!B58)+ABS('Gamma Data'!C58))=0,"",IF(OR(ABS('Gamma Data'!A58-$J$6)&gt;$J$6*$J$26,ABS('Gamma Data'!A58-$J$6)&lt;$J$28),"",(ABS('Gamma Data'!B58)+ABS('Gamma Data'!C58))/MAX(ABS('Gamma Data'!A58-$J$6)/($J$6*0.005),1)+ROW()/1000000000)))</f>
        <v/>
      </c>
    </row>
    <row r="59" ht="15" customHeight="1" s="35">
      <c r="A59" s="3">
        <f>IF('Gamma Data'!A59="","",'Gamma Data'!A59)</f>
        <v/>
      </c>
      <c r="B59" s="3">
        <f>IF(A59="","",'Gamma Data'!B59-'Gamma Data'!C59)</f>
        <v/>
      </c>
      <c r="C59" s="3">
        <f>IF(A59="","",ABS('Gamma Data'!B59)+ABS('Gamma Data'!C59))</f>
        <v/>
      </c>
      <c r="D59" s="4">
        <f>IF(A59="","",IF(C59=0,"-",IF(AND('Gamma Data'!B59&gt;0,'Gamma Data'!B59&gt;='Gamma Data'!C59*1.5),"Call Wall",IF(AND('Gamma Data'!C59&gt;0,'Gamma Data'!C59&gt;='Gamma Data'!B59*1.5),"Put Wall","(mixed)"))))</f>
        <v/>
      </c>
      <c r="E59" s="5">
        <f>IF(OR(A59="",$J$12=0),"",C59/$J$12)</f>
        <v/>
      </c>
      <c r="F59" s="4">
        <f>IF(A59="","",IF(C59&gt;=2*$J$12,"จุดหนืด",IF(C59&lt;=0.5*$J$12,"air pocket","")))</f>
        <v/>
      </c>
      <c r="H59" s="6">
        <f>IF(AND(A59&gt;=$J$6,'Gamma Data'!B59&gt;0,'Gamma Data'!B59&gt;='Gamma Data'!C59*1.5),'Gamma Data'!B59,0)</f>
        <v/>
      </c>
      <c r="AB59">
        <f>IF(NOT(ISNUMBER('Gamma Data'!A59)),"",IF((ABS('Gamma Data'!B59)+ABS('Gamma Data'!C59))=0,"",IF(OR(ABS('Gamma Data'!A59-$J$6)&gt;$J$6*$J$26,ABS('Gamma Data'!A59-$J$6)&lt;$J$28),"",(ABS('Gamma Data'!B59)+ABS('Gamma Data'!C59))/MAX(ABS('Gamma Data'!A59-$J$6)/($J$6*0.005),1)+ROW()/1000000000)))</f>
        <v/>
      </c>
    </row>
    <row r="60" ht="15" customHeight="1" s="35">
      <c r="A60" s="3">
        <f>IF('Gamma Data'!A60="","",'Gamma Data'!A60)</f>
        <v/>
      </c>
      <c r="B60" s="3">
        <f>IF(A60="","",'Gamma Data'!B60-'Gamma Data'!C60)</f>
        <v/>
      </c>
      <c r="C60" s="3">
        <f>IF(A60="","",ABS('Gamma Data'!B60)+ABS('Gamma Data'!C60))</f>
        <v/>
      </c>
      <c r="D60" s="4">
        <f>IF(A60="","",IF(C60=0,"-",IF(AND('Gamma Data'!B60&gt;0,'Gamma Data'!B60&gt;='Gamma Data'!C60*1.5),"Call Wall",IF(AND('Gamma Data'!C60&gt;0,'Gamma Data'!C60&gt;='Gamma Data'!B60*1.5),"Put Wall","(mixed)"))))</f>
        <v/>
      </c>
      <c r="E60" s="5">
        <f>IF(OR(A60="",$J$12=0),"",C60/$J$12)</f>
        <v/>
      </c>
      <c r="F60" s="4">
        <f>IF(A60="","",IF(C60&gt;=2*$J$12,"จุดหนืด",IF(C60&lt;=0.5*$J$12,"air pocket","")))</f>
        <v/>
      </c>
      <c r="H60" s="6">
        <f>IF(AND(A60&gt;=$J$6,'Gamma Data'!B60&gt;0,'Gamma Data'!B60&gt;='Gamma Data'!C60*1.5),'Gamma Data'!B60,0)</f>
        <v/>
      </c>
      <c r="AB60">
        <f>IF(NOT(ISNUMBER('Gamma Data'!A60)),"",IF((ABS('Gamma Data'!B60)+ABS('Gamma Data'!C60))=0,"",IF(OR(ABS('Gamma Data'!A60-$J$6)&gt;$J$6*$J$26,ABS('Gamma Data'!A60-$J$6)&lt;$J$28),"",(ABS('Gamma Data'!B60)+ABS('Gamma Data'!C60))/MAX(ABS('Gamma Data'!A60-$J$6)/($J$6*0.005),1)+ROW()/1000000000)))</f>
        <v/>
      </c>
    </row>
    <row r="61" ht="15" customHeight="1" s="35">
      <c r="A61" s="3">
        <f>IF('Gamma Data'!A61="","",'Gamma Data'!A61)</f>
        <v/>
      </c>
      <c r="B61" s="3">
        <f>IF(A61="","",'Gamma Data'!B61-'Gamma Data'!C61)</f>
        <v/>
      </c>
      <c r="C61" s="3">
        <f>IF(A61="","",ABS('Gamma Data'!B61)+ABS('Gamma Data'!C61))</f>
        <v/>
      </c>
      <c r="D61" s="4">
        <f>IF(A61="","",IF(C61=0,"-",IF(AND('Gamma Data'!B61&gt;0,'Gamma Data'!B61&gt;='Gamma Data'!C61*1.5),"Call Wall",IF(AND('Gamma Data'!C61&gt;0,'Gamma Data'!C61&gt;='Gamma Data'!B61*1.5),"Put Wall","(mixed)"))))</f>
        <v/>
      </c>
      <c r="E61" s="5">
        <f>IF(OR(A61="",$J$12=0),"",C61/$J$12)</f>
        <v/>
      </c>
      <c r="F61" s="4">
        <f>IF(A61="","",IF(C61&gt;=2*$J$12,"จุดหนืด",IF(C61&lt;=0.5*$J$12,"air pocket","")))</f>
        <v/>
      </c>
      <c r="H61" s="6">
        <f>IF(AND(A61&gt;=$J$6,'Gamma Data'!B61&gt;0,'Gamma Data'!B61&gt;='Gamma Data'!C61*1.5),'Gamma Data'!B61,0)</f>
        <v/>
      </c>
      <c r="AB61">
        <f>IF(NOT(ISNUMBER('Gamma Data'!A61)),"",IF((ABS('Gamma Data'!B61)+ABS('Gamma Data'!C61))=0,"",IF(OR(ABS('Gamma Data'!A61-$J$6)&gt;$J$6*$J$26,ABS('Gamma Data'!A61-$J$6)&lt;$J$28),"",(ABS('Gamma Data'!B61)+ABS('Gamma Data'!C61))/MAX(ABS('Gamma Data'!A61-$J$6)/($J$6*0.005),1)+ROW()/1000000000)))</f>
        <v/>
      </c>
    </row>
    <row r="62" ht="15" customHeight="1" s="35">
      <c r="A62" s="3">
        <f>IF('Gamma Data'!A62="","",'Gamma Data'!A62)</f>
        <v/>
      </c>
      <c r="B62" s="3">
        <f>IF(A62="","",'Gamma Data'!B62-'Gamma Data'!C62)</f>
        <v/>
      </c>
      <c r="C62" s="3">
        <f>IF(A62="","",ABS('Gamma Data'!B62)+ABS('Gamma Data'!C62))</f>
        <v/>
      </c>
      <c r="D62" s="4">
        <f>IF(A62="","",IF(C62=0,"-",IF(AND('Gamma Data'!B62&gt;0,'Gamma Data'!B62&gt;='Gamma Data'!C62*1.5),"Call Wall",IF(AND('Gamma Data'!C62&gt;0,'Gamma Data'!C62&gt;='Gamma Data'!B62*1.5),"Put Wall","(mixed)"))))</f>
        <v/>
      </c>
      <c r="E62" s="5">
        <f>IF(OR(A62="",$J$12=0),"",C62/$J$12)</f>
        <v/>
      </c>
      <c r="F62" s="4">
        <f>IF(A62="","",IF(C62&gt;=2*$J$12,"จุดหนืด",IF(C62&lt;=0.5*$J$12,"air pocket","")))</f>
        <v/>
      </c>
      <c r="H62" s="6">
        <f>IF(AND(A62&gt;=$J$6,'Gamma Data'!B62&gt;0,'Gamma Data'!B62&gt;='Gamma Data'!C62*1.5),'Gamma Data'!B62,0)</f>
        <v/>
      </c>
      <c r="AB62">
        <f>IF(NOT(ISNUMBER('Gamma Data'!A62)),"",IF((ABS('Gamma Data'!B62)+ABS('Gamma Data'!C62))=0,"",IF(OR(ABS('Gamma Data'!A62-$J$6)&gt;$J$6*$J$26,ABS('Gamma Data'!A62-$J$6)&lt;$J$28),"",(ABS('Gamma Data'!B62)+ABS('Gamma Data'!C62))/MAX(ABS('Gamma Data'!A62-$J$6)/($J$6*0.005),1)+ROW()/1000000000)))</f>
        <v/>
      </c>
    </row>
    <row r="63" ht="15" customHeight="1" s="35">
      <c r="A63" s="3">
        <f>IF('Gamma Data'!A63="","",'Gamma Data'!A63)</f>
        <v/>
      </c>
      <c r="B63" s="3">
        <f>IF(A63="","",'Gamma Data'!B63-'Gamma Data'!C63)</f>
        <v/>
      </c>
      <c r="C63" s="3">
        <f>IF(A63="","",ABS('Gamma Data'!B63)+ABS('Gamma Data'!C63))</f>
        <v/>
      </c>
      <c r="D63" s="4">
        <f>IF(A63="","",IF(C63=0,"-",IF(AND('Gamma Data'!B63&gt;0,'Gamma Data'!B63&gt;='Gamma Data'!C63*1.5),"Call Wall",IF(AND('Gamma Data'!C63&gt;0,'Gamma Data'!C63&gt;='Gamma Data'!B63*1.5),"Put Wall","(mixed)"))))</f>
        <v/>
      </c>
      <c r="E63" s="5">
        <f>IF(OR(A63="",$J$12=0),"",C63/$J$12)</f>
        <v/>
      </c>
      <c r="F63" s="4">
        <f>IF(A63="","",IF(C63&gt;=2*$J$12,"จุดหนืด",IF(C63&lt;=0.5*$J$12,"air pocket","")))</f>
        <v/>
      </c>
      <c r="H63" s="6">
        <f>IF(AND(A63&gt;=$J$6,'Gamma Data'!B63&gt;0,'Gamma Data'!B63&gt;='Gamma Data'!C63*1.5),'Gamma Data'!B63,0)</f>
        <v/>
      </c>
      <c r="AB63">
        <f>IF(NOT(ISNUMBER('Gamma Data'!A63)),"",IF((ABS('Gamma Data'!B63)+ABS('Gamma Data'!C63))=0,"",IF(OR(ABS('Gamma Data'!A63-$J$6)&gt;$J$6*$J$26,ABS('Gamma Data'!A63-$J$6)&lt;$J$28),"",(ABS('Gamma Data'!B63)+ABS('Gamma Data'!C63))/MAX(ABS('Gamma Data'!A63-$J$6)/($J$6*0.005),1)+ROW()/1000000000)))</f>
        <v/>
      </c>
    </row>
    <row r="64" ht="15" customHeight="1" s="35">
      <c r="A64" s="3">
        <f>IF('Gamma Data'!A64="","",'Gamma Data'!A64)</f>
        <v/>
      </c>
      <c r="B64" s="3">
        <f>IF(A64="","",'Gamma Data'!B64-'Gamma Data'!C64)</f>
        <v/>
      </c>
      <c r="C64" s="3">
        <f>IF(A64="","",ABS('Gamma Data'!B64)+ABS('Gamma Data'!C64))</f>
        <v/>
      </c>
      <c r="D64" s="4">
        <f>IF(A64="","",IF(C64=0,"-",IF(AND('Gamma Data'!B64&gt;0,'Gamma Data'!B64&gt;='Gamma Data'!C64*1.5),"Call Wall",IF(AND('Gamma Data'!C64&gt;0,'Gamma Data'!C64&gt;='Gamma Data'!B64*1.5),"Put Wall","(mixed)"))))</f>
        <v/>
      </c>
      <c r="E64" s="5">
        <f>IF(OR(A64="",$J$12=0),"",C64/$J$12)</f>
        <v/>
      </c>
      <c r="F64" s="4">
        <f>IF(A64="","",IF(C64&gt;=2*$J$12,"จุดหนืด",IF(C64&lt;=0.5*$J$12,"air pocket","")))</f>
        <v/>
      </c>
      <c r="H64" s="6">
        <f>IF(AND(A64&gt;=$J$6,'Gamma Data'!B64&gt;0,'Gamma Data'!B64&gt;='Gamma Data'!C64*1.5),'Gamma Data'!B64,0)</f>
        <v/>
      </c>
      <c r="AB64">
        <f>IF(NOT(ISNUMBER('Gamma Data'!A64)),"",IF((ABS('Gamma Data'!B64)+ABS('Gamma Data'!C64))=0,"",IF(OR(ABS('Gamma Data'!A64-$J$6)&gt;$J$6*$J$26,ABS('Gamma Data'!A64-$J$6)&lt;$J$28),"",(ABS('Gamma Data'!B64)+ABS('Gamma Data'!C64))/MAX(ABS('Gamma Data'!A64-$J$6)/($J$6*0.005),1)+ROW()/1000000000)))</f>
        <v/>
      </c>
    </row>
    <row r="65" ht="15" customHeight="1" s="35">
      <c r="A65" s="3">
        <f>IF('Gamma Data'!A65="","",'Gamma Data'!A65)</f>
        <v/>
      </c>
      <c r="B65" s="3">
        <f>IF(A65="","",'Gamma Data'!B65-'Gamma Data'!C65)</f>
        <v/>
      </c>
      <c r="C65" s="3">
        <f>IF(A65="","",ABS('Gamma Data'!B65)+ABS('Gamma Data'!C65))</f>
        <v/>
      </c>
      <c r="D65" s="4">
        <f>IF(A65="","",IF(C65=0,"-",IF(AND('Gamma Data'!B65&gt;0,'Gamma Data'!B65&gt;='Gamma Data'!C65*1.5),"Call Wall",IF(AND('Gamma Data'!C65&gt;0,'Gamma Data'!C65&gt;='Gamma Data'!B65*1.5),"Put Wall","(mixed)"))))</f>
        <v/>
      </c>
      <c r="E65" s="5">
        <f>IF(OR(A65="",$J$12=0),"",C65/$J$12)</f>
        <v/>
      </c>
      <c r="F65" s="4">
        <f>IF(A65="","",IF(C65&gt;=2*$J$12,"จุดหนืด",IF(C65&lt;=0.5*$J$12,"air pocket","")))</f>
        <v/>
      </c>
      <c r="H65" s="6">
        <f>IF(AND(A65&gt;=$J$6,'Gamma Data'!B65&gt;0,'Gamma Data'!B65&gt;='Gamma Data'!C65*1.5),'Gamma Data'!B65,0)</f>
        <v/>
      </c>
      <c r="AB65">
        <f>IF(NOT(ISNUMBER('Gamma Data'!A65)),"",IF((ABS('Gamma Data'!B65)+ABS('Gamma Data'!C65))=0,"",IF(OR(ABS('Gamma Data'!A65-$J$6)&gt;$J$6*$J$26,ABS('Gamma Data'!A65-$J$6)&lt;$J$28),"",(ABS('Gamma Data'!B65)+ABS('Gamma Data'!C65))/MAX(ABS('Gamma Data'!A65-$J$6)/($J$6*0.005),1)+ROW()/1000000000)))</f>
        <v/>
      </c>
    </row>
    <row r="66" ht="15" customHeight="1" s="35">
      <c r="A66" s="3">
        <f>IF('Gamma Data'!A66="","",'Gamma Data'!A66)</f>
        <v/>
      </c>
      <c r="B66" s="3">
        <f>IF(A66="","",'Gamma Data'!B66-'Gamma Data'!C66)</f>
        <v/>
      </c>
      <c r="C66" s="3">
        <f>IF(A66="","",ABS('Gamma Data'!B66)+ABS('Gamma Data'!C66))</f>
        <v/>
      </c>
      <c r="D66" s="4">
        <f>IF(A66="","",IF(C66=0,"-",IF(AND('Gamma Data'!B66&gt;0,'Gamma Data'!B66&gt;='Gamma Data'!C66*1.5),"Call Wall",IF(AND('Gamma Data'!C66&gt;0,'Gamma Data'!C66&gt;='Gamma Data'!B66*1.5),"Put Wall","(mixed)"))))</f>
        <v/>
      </c>
      <c r="E66" s="5">
        <f>IF(OR(A66="",$J$12=0),"",C66/$J$12)</f>
        <v/>
      </c>
      <c r="F66" s="4">
        <f>IF(A66="","",IF(C66&gt;=2*$J$12,"จุดหนืด",IF(C66&lt;=0.5*$J$12,"air pocket","")))</f>
        <v/>
      </c>
      <c r="H66" s="6">
        <f>IF(AND(A66&gt;=$J$6,'Gamma Data'!B66&gt;0,'Gamma Data'!B66&gt;='Gamma Data'!C66*1.5),'Gamma Data'!B66,0)</f>
        <v/>
      </c>
      <c r="AB66">
        <f>IF(NOT(ISNUMBER('Gamma Data'!A66)),"",IF((ABS('Gamma Data'!B66)+ABS('Gamma Data'!C66))=0,"",IF(OR(ABS('Gamma Data'!A66-$J$6)&gt;$J$6*$J$26,ABS('Gamma Data'!A66-$J$6)&lt;$J$28),"",(ABS('Gamma Data'!B66)+ABS('Gamma Data'!C66))/MAX(ABS('Gamma Data'!A66-$J$6)/($J$6*0.005),1)+ROW()/1000000000)))</f>
        <v/>
      </c>
    </row>
    <row r="67" ht="15" customHeight="1" s="35">
      <c r="A67" s="3">
        <f>IF('Gamma Data'!A67="","",'Gamma Data'!A67)</f>
        <v/>
      </c>
      <c r="B67" s="3">
        <f>IF(A67="","",'Gamma Data'!B67-'Gamma Data'!C67)</f>
        <v/>
      </c>
      <c r="C67" s="3">
        <f>IF(A67="","",ABS('Gamma Data'!B67)+ABS('Gamma Data'!C67))</f>
        <v/>
      </c>
      <c r="D67" s="4">
        <f>IF(A67="","",IF(C67=0,"-",IF(AND('Gamma Data'!B67&gt;0,'Gamma Data'!B67&gt;='Gamma Data'!C67*1.5),"Call Wall",IF(AND('Gamma Data'!C67&gt;0,'Gamma Data'!C67&gt;='Gamma Data'!B67*1.5),"Put Wall","(mixed)"))))</f>
        <v/>
      </c>
      <c r="E67" s="5">
        <f>IF(OR(A67="",$J$12=0),"",C67/$J$12)</f>
        <v/>
      </c>
      <c r="F67" s="4">
        <f>IF(A67="","",IF(C67&gt;=2*$J$12,"จุดหนืด",IF(C67&lt;=0.5*$J$12,"air pocket","")))</f>
        <v/>
      </c>
      <c r="H67" s="6">
        <f>IF(AND(A67&gt;=$J$6,'Gamma Data'!B67&gt;0,'Gamma Data'!B67&gt;='Gamma Data'!C67*1.5),'Gamma Data'!B67,0)</f>
        <v/>
      </c>
      <c r="AB67">
        <f>IF(NOT(ISNUMBER('Gamma Data'!A67)),"",IF((ABS('Gamma Data'!B67)+ABS('Gamma Data'!C67))=0,"",IF(OR(ABS('Gamma Data'!A67-$J$6)&gt;$J$6*$J$26,ABS('Gamma Data'!A67-$J$6)&lt;$J$28),"",(ABS('Gamma Data'!B67)+ABS('Gamma Data'!C67))/MAX(ABS('Gamma Data'!A67-$J$6)/($J$6*0.005),1)+ROW()/1000000000)))</f>
        <v/>
      </c>
    </row>
    <row r="68" ht="15" customHeight="1" s="35">
      <c r="A68" s="3">
        <f>IF('Gamma Data'!A68="","",'Gamma Data'!A68)</f>
        <v/>
      </c>
      <c r="B68" s="3">
        <f>IF(A68="","",'Gamma Data'!B68-'Gamma Data'!C68)</f>
        <v/>
      </c>
      <c r="C68" s="3">
        <f>IF(A68="","",ABS('Gamma Data'!B68)+ABS('Gamma Data'!C68))</f>
        <v/>
      </c>
      <c r="D68" s="4">
        <f>IF(A68="","",IF(C68=0,"-",IF(AND('Gamma Data'!B68&gt;0,'Gamma Data'!B68&gt;='Gamma Data'!C68*1.5),"Call Wall",IF(AND('Gamma Data'!C68&gt;0,'Gamma Data'!C68&gt;='Gamma Data'!B68*1.5),"Put Wall","(mixed)"))))</f>
        <v/>
      </c>
      <c r="E68" s="5">
        <f>IF(OR(A68="",$J$12=0),"",C68/$J$12)</f>
        <v/>
      </c>
      <c r="F68" s="4">
        <f>IF(A68="","",IF(C68&gt;=2*$J$12,"จุดหนืด",IF(C68&lt;=0.5*$J$12,"air pocket","")))</f>
        <v/>
      </c>
      <c r="H68" s="6">
        <f>IF(AND(A68&gt;=$J$6,'Gamma Data'!B68&gt;0,'Gamma Data'!B68&gt;='Gamma Data'!C68*1.5),'Gamma Data'!B68,0)</f>
        <v/>
      </c>
      <c r="AB68">
        <f>IF(NOT(ISNUMBER('Gamma Data'!A68)),"",IF((ABS('Gamma Data'!B68)+ABS('Gamma Data'!C68))=0,"",IF(OR(ABS('Gamma Data'!A68-$J$6)&gt;$J$6*$J$26,ABS('Gamma Data'!A68-$J$6)&lt;$J$28),"",(ABS('Gamma Data'!B68)+ABS('Gamma Data'!C68))/MAX(ABS('Gamma Data'!A68-$J$6)/($J$6*0.005),1)+ROW()/1000000000)))</f>
        <v/>
      </c>
    </row>
    <row r="69" ht="15" customHeight="1" s="35">
      <c r="A69" s="3">
        <f>IF('Gamma Data'!A69="","",'Gamma Data'!A69)</f>
        <v/>
      </c>
      <c r="B69" s="3">
        <f>IF(A69="","",'Gamma Data'!B69-'Gamma Data'!C69)</f>
        <v/>
      </c>
      <c r="C69" s="3">
        <f>IF(A69="","",ABS('Gamma Data'!B69)+ABS('Gamma Data'!C69))</f>
        <v/>
      </c>
      <c r="D69" s="4">
        <f>IF(A69="","",IF(C69=0,"-",IF(AND('Gamma Data'!B69&gt;0,'Gamma Data'!B69&gt;='Gamma Data'!C69*1.5),"Call Wall",IF(AND('Gamma Data'!C69&gt;0,'Gamma Data'!C69&gt;='Gamma Data'!B69*1.5),"Put Wall","(mixed)"))))</f>
        <v/>
      </c>
      <c r="E69" s="5">
        <f>IF(OR(A69="",$J$12=0),"",C69/$J$12)</f>
        <v/>
      </c>
      <c r="F69" s="4">
        <f>IF(A69="","",IF(C69&gt;=2*$J$12,"จุดหนืด",IF(C69&lt;=0.5*$J$12,"air pocket","")))</f>
        <v/>
      </c>
      <c r="H69" s="6">
        <f>IF(AND(A69&gt;=$J$6,'Gamma Data'!B69&gt;0,'Gamma Data'!B69&gt;='Gamma Data'!C69*1.5),'Gamma Data'!B69,0)</f>
        <v/>
      </c>
      <c r="AB69">
        <f>IF(NOT(ISNUMBER('Gamma Data'!A69)),"",IF((ABS('Gamma Data'!B69)+ABS('Gamma Data'!C69))=0,"",IF(OR(ABS('Gamma Data'!A69-$J$6)&gt;$J$6*$J$26,ABS('Gamma Data'!A69-$J$6)&lt;$J$28),"",(ABS('Gamma Data'!B69)+ABS('Gamma Data'!C69))/MAX(ABS('Gamma Data'!A69-$J$6)/($J$6*0.005),1)+ROW()/1000000000)))</f>
        <v/>
      </c>
    </row>
    <row r="70" ht="15" customHeight="1" s="35">
      <c r="A70" s="3">
        <f>IF('Gamma Data'!A70="","",'Gamma Data'!A70)</f>
        <v/>
      </c>
      <c r="B70" s="3">
        <f>IF(A70="","",'Gamma Data'!B70-'Gamma Data'!C70)</f>
        <v/>
      </c>
      <c r="C70" s="3">
        <f>IF(A70="","",ABS('Gamma Data'!B70)+ABS('Gamma Data'!C70))</f>
        <v/>
      </c>
      <c r="D70" s="4">
        <f>IF(A70="","",IF(C70=0,"-",IF(AND('Gamma Data'!B70&gt;0,'Gamma Data'!B70&gt;='Gamma Data'!C70*1.5),"Call Wall",IF(AND('Gamma Data'!C70&gt;0,'Gamma Data'!C70&gt;='Gamma Data'!B70*1.5),"Put Wall","(mixed)"))))</f>
        <v/>
      </c>
      <c r="E70" s="5">
        <f>IF(OR(A70="",$J$12=0),"",C70/$J$12)</f>
        <v/>
      </c>
      <c r="F70" s="4">
        <f>IF(A70="","",IF(C70&gt;=2*$J$12,"จุดหนืด",IF(C70&lt;=0.5*$J$12,"air pocket","")))</f>
        <v/>
      </c>
      <c r="H70" s="6">
        <f>IF(AND(A70&gt;=$J$6,'Gamma Data'!B70&gt;0,'Gamma Data'!B70&gt;='Gamma Data'!C70*1.5),'Gamma Data'!B70,0)</f>
        <v/>
      </c>
      <c r="AB70">
        <f>IF(NOT(ISNUMBER('Gamma Data'!A70)),"",IF((ABS('Gamma Data'!B70)+ABS('Gamma Data'!C70))=0,"",IF(OR(ABS('Gamma Data'!A70-$J$6)&gt;$J$6*$J$26,ABS('Gamma Data'!A70-$J$6)&lt;$J$28),"",(ABS('Gamma Data'!B70)+ABS('Gamma Data'!C70))/MAX(ABS('Gamma Data'!A70-$J$6)/($J$6*0.005),1)+ROW()/1000000000)))</f>
        <v/>
      </c>
    </row>
    <row r="71" ht="15" customHeight="1" s="35">
      <c r="A71" s="3">
        <f>IF('Gamma Data'!A71="","",'Gamma Data'!A71)</f>
        <v/>
      </c>
      <c r="B71" s="3">
        <f>IF(A71="","",'Gamma Data'!B71-'Gamma Data'!C71)</f>
        <v/>
      </c>
      <c r="C71" s="3">
        <f>IF(A71="","",ABS('Gamma Data'!B71)+ABS('Gamma Data'!C71))</f>
        <v/>
      </c>
      <c r="D71" s="4">
        <f>IF(A71="","",IF(C71=0,"-",IF(AND('Gamma Data'!B71&gt;0,'Gamma Data'!B71&gt;='Gamma Data'!C71*1.5),"Call Wall",IF(AND('Gamma Data'!C71&gt;0,'Gamma Data'!C71&gt;='Gamma Data'!B71*1.5),"Put Wall","(mixed)"))))</f>
        <v/>
      </c>
      <c r="E71" s="5">
        <f>IF(OR(A71="",$J$12=0),"",C71/$J$12)</f>
        <v/>
      </c>
      <c r="F71" s="4">
        <f>IF(A71="","",IF(C71&gt;=2*$J$12,"จุดหนืด",IF(C71&lt;=0.5*$J$12,"air pocket","")))</f>
        <v/>
      </c>
      <c r="H71" s="6">
        <f>IF(AND(A71&gt;=$J$6,'Gamma Data'!B71&gt;0,'Gamma Data'!B71&gt;='Gamma Data'!C71*1.5),'Gamma Data'!B71,0)</f>
        <v/>
      </c>
      <c r="AB71">
        <f>IF(NOT(ISNUMBER('Gamma Data'!A71)),"",IF((ABS('Gamma Data'!B71)+ABS('Gamma Data'!C71))=0,"",IF(OR(ABS('Gamma Data'!A71-$J$6)&gt;$J$6*$J$26,ABS('Gamma Data'!A71-$J$6)&lt;$J$28),"",(ABS('Gamma Data'!B71)+ABS('Gamma Data'!C71))/MAX(ABS('Gamma Data'!A71-$J$6)/($J$6*0.005),1)+ROW()/1000000000)))</f>
        <v/>
      </c>
    </row>
    <row r="72" ht="15" customHeight="1" s="35">
      <c r="A72" s="3">
        <f>IF('Gamma Data'!A72="","",'Gamma Data'!A72)</f>
        <v/>
      </c>
      <c r="B72" s="3">
        <f>IF(A72="","",'Gamma Data'!B72-'Gamma Data'!C72)</f>
        <v/>
      </c>
      <c r="C72" s="3">
        <f>IF(A72="","",ABS('Gamma Data'!B72)+ABS('Gamma Data'!C72))</f>
        <v/>
      </c>
      <c r="D72" s="4">
        <f>IF(A72="","",IF(C72=0,"-",IF(AND('Gamma Data'!B72&gt;0,'Gamma Data'!B72&gt;='Gamma Data'!C72*1.5),"Call Wall",IF(AND('Gamma Data'!C72&gt;0,'Gamma Data'!C72&gt;='Gamma Data'!B72*1.5),"Put Wall","(mixed)"))))</f>
        <v/>
      </c>
      <c r="E72" s="5">
        <f>IF(OR(A72="",$J$12=0),"",C72/$J$12)</f>
        <v/>
      </c>
      <c r="F72" s="4">
        <f>IF(A72="","",IF(C72&gt;=2*$J$12,"จุดหนืด",IF(C72&lt;=0.5*$J$12,"air pocket","")))</f>
        <v/>
      </c>
      <c r="H72" s="6">
        <f>IF(AND(A72&gt;=$J$6,'Gamma Data'!B72&gt;0,'Gamma Data'!B72&gt;='Gamma Data'!C72*1.5),'Gamma Data'!B72,0)</f>
        <v/>
      </c>
      <c r="AB72">
        <f>IF(NOT(ISNUMBER('Gamma Data'!A72)),"",IF((ABS('Gamma Data'!B72)+ABS('Gamma Data'!C72))=0,"",IF(OR(ABS('Gamma Data'!A72-$J$6)&gt;$J$6*$J$26,ABS('Gamma Data'!A72-$J$6)&lt;$J$28),"",(ABS('Gamma Data'!B72)+ABS('Gamma Data'!C72))/MAX(ABS('Gamma Data'!A72-$J$6)/($J$6*0.005),1)+ROW()/1000000000)))</f>
        <v/>
      </c>
    </row>
    <row r="73" ht="15" customHeight="1" s="35">
      <c r="A73" s="3">
        <f>IF('Gamma Data'!A73="","",'Gamma Data'!A73)</f>
        <v/>
      </c>
      <c r="B73" s="3">
        <f>IF(A73="","",'Gamma Data'!B73-'Gamma Data'!C73)</f>
        <v/>
      </c>
      <c r="C73" s="3">
        <f>IF(A73="","",ABS('Gamma Data'!B73)+ABS('Gamma Data'!C73))</f>
        <v/>
      </c>
      <c r="D73" s="4">
        <f>IF(A73="","",IF(C73=0,"-",IF(AND('Gamma Data'!B73&gt;0,'Gamma Data'!B73&gt;='Gamma Data'!C73*1.5),"Call Wall",IF(AND('Gamma Data'!C73&gt;0,'Gamma Data'!C73&gt;='Gamma Data'!B73*1.5),"Put Wall","(mixed)"))))</f>
        <v/>
      </c>
      <c r="E73" s="5">
        <f>IF(OR(A73="",$J$12=0),"",C73/$J$12)</f>
        <v/>
      </c>
      <c r="F73" s="4">
        <f>IF(A73="","",IF(C73&gt;=2*$J$12,"จุดหนืด",IF(C73&lt;=0.5*$J$12,"air pocket","")))</f>
        <v/>
      </c>
      <c r="H73" s="6">
        <f>IF(AND(A73&gt;=$J$6,'Gamma Data'!B73&gt;0,'Gamma Data'!B73&gt;='Gamma Data'!C73*1.5),'Gamma Data'!B73,0)</f>
        <v/>
      </c>
      <c r="AB73">
        <f>IF(NOT(ISNUMBER('Gamma Data'!A73)),"",IF((ABS('Gamma Data'!B73)+ABS('Gamma Data'!C73))=0,"",IF(OR(ABS('Gamma Data'!A73-$J$6)&gt;$J$6*$J$26,ABS('Gamma Data'!A73-$J$6)&lt;$J$28),"",(ABS('Gamma Data'!B73)+ABS('Gamma Data'!C73))/MAX(ABS('Gamma Data'!A73-$J$6)/($J$6*0.005),1)+ROW()/1000000000)))</f>
        <v/>
      </c>
    </row>
    <row r="74" ht="15" customHeight="1" s="35">
      <c r="A74" s="3">
        <f>IF('Gamma Data'!A74="","",'Gamma Data'!A74)</f>
        <v/>
      </c>
      <c r="B74" s="3">
        <f>IF(A74="","",'Gamma Data'!B74-'Gamma Data'!C74)</f>
        <v/>
      </c>
      <c r="C74" s="3">
        <f>IF(A74="","",ABS('Gamma Data'!B74)+ABS('Gamma Data'!C74))</f>
        <v/>
      </c>
      <c r="D74" s="4">
        <f>IF(A74="","",IF(C74=0,"-",IF(AND('Gamma Data'!B74&gt;0,'Gamma Data'!B74&gt;='Gamma Data'!C74*1.5),"Call Wall",IF(AND('Gamma Data'!C74&gt;0,'Gamma Data'!C74&gt;='Gamma Data'!B74*1.5),"Put Wall","(mixed)"))))</f>
        <v/>
      </c>
      <c r="E74" s="5">
        <f>IF(OR(A74="",$J$12=0),"",C74/$J$12)</f>
        <v/>
      </c>
      <c r="F74" s="4">
        <f>IF(A74="","",IF(C74&gt;=2*$J$12,"จุดหนืด",IF(C74&lt;=0.5*$J$12,"air pocket","")))</f>
        <v/>
      </c>
      <c r="H74" s="6">
        <f>IF(AND(A74&gt;=$J$6,'Gamma Data'!B74&gt;0,'Gamma Data'!B74&gt;='Gamma Data'!C74*1.5),'Gamma Data'!B74,0)</f>
        <v/>
      </c>
      <c r="AB74">
        <f>IF(NOT(ISNUMBER('Gamma Data'!A74)),"",IF((ABS('Gamma Data'!B74)+ABS('Gamma Data'!C74))=0,"",IF(OR(ABS('Gamma Data'!A74-$J$6)&gt;$J$6*$J$26,ABS('Gamma Data'!A74-$J$6)&lt;$J$28),"",(ABS('Gamma Data'!B74)+ABS('Gamma Data'!C74))/MAX(ABS('Gamma Data'!A74-$J$6)/($J$6*0.005),1)+ROW()/1000000000)))</f>
        <v/>
      </c>
    </row>
    <row r="75" ht="15" customHeight="1" s="35">
      <c r="A75" s="3">
        <f>IF('Gamma Data'!A75="","",'Gamma Data'!A75)</f>
        <v/>
      </c>
      <c r="B75" s="3">
        <f>IF(A75="","",'Gamma Data'!B75-'Gamma Data'!C75)</f>
        <v/>
      </c>
      <c r="C75" s="3">
        <f>IF(A75="","",ABS('Gamma Data'!B75)+ABS('Gamma Data'!C75))</f>
        <v/>
      </c>
      <c r="D75" s="4">
        <f>IF(A75="","",IF(C75=0,"-",IF(AND('Gamma Data'!B75&gt;0,'Gamma Data'!B75&gt;='Gamma Data'!C75*1.5),"Call Wall",IF(AND('Gamma Data'!C75&gt;0,'Gamma Data'!C75&gt;='Gamma Data'!B75*1.5),"Put Wall","(mixed)"))))</f>
        <v/>
      </c>
      <c r="E75" s="5">
        <f>IF(OR(A75="",$J$12=0),"",C75/$J$12)</f>
        <v/>
      </c>
      <c r="F75" s="4">
        <f>IF(A75="","",IF(C75&gt;=2*$J$12,"จุดหนืด",IF(C75&lt;=0.5*$J$12,"air pocket","")))</f>
        <v/>
      </c>
      <c r="H75" s="6">
        <f>IF(AND(A75&gt;=$J$6,'Gamma Data'!B75&gt;0,'Gamma Data'!B75&gt;='Gamma Data'!C75*1.5),'Gamma Data'!B75,0)</f>
        <v/>
      </c>
      <c r="AB75">
        <f>IF(NOT(ISNUMBER('Gamma Data'!A75)),"",IF((ABS('Gamma Data'!B75)+ABS('Gamma Data'!C75))=0,"",IF(OR(ABS('Gamma Data'!A75-$J$6)&gt;$J$6*$J$26,ABS('Gamma Data'!A75-$J$6)&lt;$J$28),"",(ABS('Gamma Data'!B75)+ABS('Gamma Data'!C75))/MAX(ABS('Gamma Data'!A75-$J$6)/($J$6*0.005),1)+ROW()/1000000000)))</f>
        <v/>
      </c>
    </row>
    <row r="76" ht="15" customHeight="1" s="35">
      <c r="A76" s="3">
        <f>IF('Gamma Data'!A76="","",'Gamma Data'!A76)</f>
        <v/>
      </c>
      <c r="B76" s="3">
        <f>IF(A76="","",'Gamma Data'!B76-'Gamma Data'!C76)</f>
        <v/>
      </c>
      <c r="C76" s="3">
        <f>IF(A76="","",ABS('Gamma Data'!B76)+ABS('Gamma Data'!C76))</f>
        <v/>
      </c>
      <c r="D76" s="4">
        <f>IF(A76="","",IF(C76=0,"-",IF(AND('Gamma Data'!B76&gt;0,'Gamma Data'!B76&gt;='Gamma Data'!C76*1.5),"Call Wall",IF(AND('Gamma Data'!C76&gt;0,'Gamma Data'!C76&gt;='Gamma Data'!B76*1.5),"Put Wall","(mixed)"))))</f>
        <v/>
      </c>
      <c r="E76" s="5">
        <f>IF(OR(A76="",$J$12=0),"",C76/$J$12)</f>
        <v/>
      </c>
      <c r="F76" s="4">
        <f>IF(A76="","",IF(C76&gt;=2*$J$12,"จุดหนืด",IF(C76&lt;=0.5*$J$12,"air pocket","")))</f>
        <v/>
      </c>
      <c r="H76" s="6">
        <f>IF(AND(A76&gt;=$J$6,'Gamma Data'!B76&gt;0,'Gamma Data'!B76&gt;='Gamma Data'!C76*1.5),'Gamma Data'!B76,0)</f>
        <v/>
      </c>
      <c r="AB76">
        <f>IF(NOT(ISNUMBER('Gamma Data'!A76)),"",IF((ABS('Gamma Data'!B76)+ABS('Gamma Data'!C76))=0,"",IF(OR(ABS('Gamma Data'!A76-$J$6)&gt;$J$6*$J$26,ABS('Gamma Data'!A76-$J$6)&lt;$J$28),"",(ABS('Gamma Data'!B76)+ABS('Gamma Data'!C76))/MAX(ABS('Gamma Data'!A76-$J$6)/($J$6*0.005),1)+ROW()/1000000000)))</f>
        <v/>
      </c>
    </row>
    <row r="77" ht="15" customHeight="1" s="35">
      <c r="A77" s="3">
        <f>IF('Gamma Data'!A77="","",'Gamma Data'!A77)</f>
        <v/>
      </c>
      <c r="B77" s="3">
        <f>IF(A77="","",'Gamma Data'!B77-'Gamma Data'!C77)</f>
        <v/>
      </c>
      <c r="C77" s="3">
        <f>IF(A77="","",ABS('Gamma Data'!B77)+ABS('Gamma Data'!C77))</f>
        <v/>
      </c>
      <c r="D77" s="4">
        <f>IF(A77="","",IF(C77=0,"-",IF(AND('Gamma Data'!B77&gt;0,'Gamma Data'!B77&gt;='Gamma Data'!C77*1.5),"Call Wall",IF(AND('Gamma Data'!C77&gt;0,'Gamma Data'!C77&gt;='Gamma Data'!B77*1.5),"Put Wall","(mixed)"))))</f>
        <v/>
      </c>
      <c r="E77" s="5">
        <f>IF(OR(A77="",$J$12=0),"",C77/$J$12)</f>
        <v/>
      </c>
      <c r="F77" s="4">
        <f>IF(A77="","",IF(C77&gt;=2*$J$12,"จุดหนืด",IF(C77&lt;=0.5*$J$12,"air pocket","")))</f>
        <v/>
      </c>
      <c r="H77" s="6">
        <f>IF(AND(A77&gt;=$J$6,'Gamma Data'!B77&gt;0,'Gamma Data'!B77&gt;='Gamma Data'!C77*1.5),'Gamma Data'!B77,0)</f>
        <v/>
      </c>
      <c r="AB77">
        <f>IF(NOT(ISNUMBER('Gamma Data'!A77)),"",IF((ABS('Gamma Data'!B77)+ABS('Gamma Data'!C77))=0,"",IF(OR(ABS('Gamma Data'!A77-$J$6)&gt;$J$6*$J$26,ABS('Gamma Data'!A77-$J$6)&lt;$J$28),"",(ABS('Gamma Data'!B77)+ABS('Gamma Data'!C77))/MAX(ABS('Gamma Data'!A77-$J$6)/($J$6*0.005),1)+ROW()/1000000000)))</f>
        <v/>
      </c>
    </row>
    <row r="78" ht="15" customHeight="1" s="35">
      <c r="A78" s="3">
        <f>IF('Gamma Data'!A78="","",'Gamma Data'!A78)</f>
        <v/>
      </c>
      <c r="B78" s="3">
        <f>IF(A78="","",'Gamma Data'!B78-'Gamma Data'!C78)</f>
        <v/>
      </c>
      <c r="C78" s="3">
        <f>IF(A78="","",ABS('Gamma Data'!B78)+ABS('Gamma Data'!C78))</f>
        <v/>
      </c>
      <c r="D78" s="4">
        <f>IF(A78="","",IF(C78=0,"-",IF(AND('Gamma Data'!B78&gt;0,'Gamma Data'!B78&gt;='Gamma Data'!C78*1.5),"Call Wall",IF(AND('Gamma Data'!C78&gt;0,'Gamma Data'!C78&gt;='Gamma Data'!B78*1.5),"Put Wall","(mixed)"))))</f>
        <v/>
      </c>
      <c r="E78" s="5">
        <f>IF(OR(A78="",$J$12=0),"",C78/$J$12)</f>
        <v/>
      </c>
      <c r="F78" s="4">
        <f>IF(A78="","",IF(C78&gt;=2*$J$12,"จุดหนืด",IF(C78&lt;=0.5*$J$12,"air pocket","")))</f>
        <v/>
      </c>
      <c r="H78" s="6">
        <f>IF(AND(A78&gt;=$J$6,'Gamma Data'!B78&gt;0,'Gamma Data'!B78&gt;='Gamma Data'!C78*1.5),'Gamma Data'!B78,0)</f>
        <v/>
      </c>
      <c r="AB78">
        <f>IF(NOT(ISNUMBER('Gamma Data'!A78)),"",IF((ABS('Gamma Data'!B78)+ABS('Gamma Data'!C78))=0,"",IF(OR(ABS('Gamma Data'!A78-$J$6)&gt;$J$6*$J$26,ABS('Gamma Data'!A78-$J$6)&lt;$J$28),"",(ABS('Gamma Data'!B78)+ABS('Gamma Data'!C78))/MAX(ABS('Gamma Data'!A78-$J$6)/($J$6*0.005),1)+ROW()/1000000000)))</f>
        <v/>
      </c>
    </row>
    <row r="79" ht="15" customHeight="1" s="35">
      <c r="A79" s="3">
        <f>IF('Gamma Data'!A79="","",'Gamma Data'!A79)</f>
        <v/>
      </c>
      <c r="B79" s="3">
        <f>IF(A79="","",'Gamma Data'!B79-'Gamma Data'!C79)</f>
        <v/>
      </c>
      <c r="C79" s="3">
        <f>IF(A79="","",ABS('Gamma Data'!B79)+ABS('Gamma Data'!C79))</f>
        <v/>
      </c>
      <c r="D79" s="4">
        <f>IF(A79="","",IF(C79=0,"-",IF(AND('Gamma Data'!B79&gt;0,'Gamma Data'!B79&gt;='Gamma Data'!C79*1.5),"Call Wall",IF(AND('Gamma Data'!C79&gt;0,'Gamma Data'!C79&gt;='Gamma Data'!B79*1.5),"Put Wall","(mixed)"))))</f>
        <v/>
      </c>
      <c r="E79" s="5">
        <f>IF(OR(A79="",$J$12=0),"",C79/$J$12)</f>
        <v/>
      </c>
      <c r="F79" s="4">
        <f>IF(A79="","",IF(C79&gt;=2*$J$12,"จุดหนืด",IF(C79&lt;=0.5*$J$12,"air pocket","")))</f>
        <v/>
      </c>
      <c r="H79" s="6">
        <f>IF(AND(A79&gt;=$J$6,'Gamma Data'!B79&gt;0,'Gamma Data'!B79&gt;='Gamma Data'!C79*1.5),'Gamma Data'!B79,0)</f>
        <v/>
      </c>
      <c r="AB79">
        <f>IF(NOT(ISNUMBER('Gamma Data'!A79)),"",IF((ABS('Gamma Data'!B79)+ABS('Gamma Data'!C79))=0,"",IF(OR(ABS('Gamma Data'!A79-$J$6)&gt;$J$6*$J$26,ABS('Gamma Data'!A79-$J$6)&lt;$J$28),"",(ABS('Gamma Data'!B79)+ABS('Gamma Data'!C79))/MAX(ABS('Gamma Data'!A79-$J$6)/($J$6*0.005),1)+ROW()/1000000000)))</f>
        <v/>
      </c>
    </row>
    <row r="80" ht="15" customHeight="1" s="35">
      <c r="A80" s="3">
        <f>IF('Gamma Data'!A80="","",'Gamma Data'!A80)</f>
        <v/>
      </c>
      <c r="B80" s="3">
        <f>IF(A80="","",'Gamma Data'!B80-'Gamma Data'!C80)</f>
        <v/>
      </c>
      <c r="C80" s="3">
        <f>IF(A80="","",ABS('Gamma Data'!B80)+ABS('Gamma Data'!C80))</f>
        <v/>
      </c>
      <c r="D80" s="4">
        <f>IF(A80="","",IF(C80=0,"-",IF(AND('Gamma Data'!B80&gt;0,'Gamma Data'!B80&gt;='Gamma Data'!C80*1.5),"Call Wall",IF(AND('Gamma Data'!C80&gt;0,'Gamma Data'!C80&gt;='Gamma Data'!B80*1.5),"Put Wall","(mixed)"))))</f>
        <v/>
      </c>
      <c r="E80" s="5">
        <f>IF(OR(A80="",$J$12=0),"",C80/$J$12)</f>
        <v/>
      </c>
      <c r="F80" s="4">
        <f>IF(A80="","",IF(C80&gt;=2*$J$12,"จุดหนืด",IF(C80&lt;=0.5*$J$12,"air pocket","")))</f>
        <v/>
      </c>
      <c r="H80" s="6">
        <f>IF(AND(A80&gt;=$J$6,'Gamma Data'!B80&gt;0,'Gamma Data'!B80&gt;='Gamma Data'!C80*1.5),'Gamma Data'!B80,0)</f>
        <v/>
      </c>
      <c r="AB80">
        <f>IF(NOT(ISNUMBER('Gamma Data'!A80)),"",IF((ABS('Gamma Data'!B80)+ABS('Gamma Data'!C80))=0,"",IF(OR(ABS('Gamma Data'!A80-$J$6)&gt;$J$6*$J$26,ABS('Gamma Data'!A80-$J$6)&lt;$J$28),"",(ABS('Gamma Data'!B80)+ABS('Gamma Data'!C80))/MAX(ABS('Gamma Data'!A80-$J$6)/($J$6*0.005),1)+ROW()/1000000000)))</f>
        <v/>
      </c>
    </row>
    <row r="81" ht="15" customHeight="1" s="35">
      <c r="A81" s="3">
        <f>IF('Gamma Data'!A81="","",'Gamma Data'!A81)</f>
        <v/>
      </c>
      <c r="B81" s="3">
        <f>IF(A81="","",'Gamma Data'!B81-'Gamma Data'!C81)</f>
        <v/>
      </c>
      <c r="C81" s="3">
        <f>IF(A81="","",ABS('Gamma Data'!B81)+ABS('Gamma Data'!C81))</f>
        <v/>
      </c>
      <c r="D81" s="4">
        <f>IF(A81="","",IF(C81=0,"-",IF(AND('Gamma Data'!B81&gt;0,'Gamma Data'!B81&gt;='Gamma Data'!C81*1.5),"Call Wall",IF(AND('Gamma Data'!C81&gt;0,'Gamma Data'!C81&gt;='Gamma Data'!B81*1.5),"Put Wall","(mixed)"))))</f>
        <v/>
      </c>
      <c r="E81" s="5">
        <f>IF(OR(A81="",$J$12=0),"",C81/$J$12)</f>
        <v/>
      </c>
      <c r="F81" s="4">
        <f>IF(A81="","",IF(C81&gt;=2*$J$12,"จุดหนืด",IF(C81&lt;=0.5*$J$12,"air pocket","")))</f>
        <v/>
      </c>
      <c r="H81" s="6">
        <f>IF(AND(A81&gt;=$J$6,'Gamma Data'!B81&gt;0,'Gamma Data'!B81&gt;='Gamma Data'!C81*1.5),'Gamma Data'!B81,0)</f>
        <v/>
      </c>
      <c r="AB81">
        <f>IF(NOT(ISNUMBER('Gamma Data'!A81)),"",IF((ABS('Gamma Data'!B81)+ABS('Gamma Data'!C81))=0,"",IF(OR(ABS('Gamma Data'!A81-$J$6)&gt;$J$6*$J$26,ABS('Gamma Data'!A81-$J$6)&lt;$J$28),"",(ABS('Gamma Data'!B81)+ABS('Gamma Data'!C81))/MAX(ABS('Gamma Data'!A81-$J$6)/($J$6*0.005),1)+ROW()/1000000000)))</f>
        <v/>
      </c>
    </row>
    <row r="82" ht="15" customHeight="1" s="35">
      <c r="A82" s="3">
        <f>IF('Gamma Data'!A82="","",'Gamma Data'!A82)</f>
        <v/>
      </c>
      <c r="B82" s="3">
        <f>IF(A82="","",'Gamma Data'!B82-'Gamma Data'!C82)</f>
        <v/>
      </c>
      <c r="C82" s="3">
        <f>IF(A82="","",ABS('Gamma Data'!B82)+ABS('Gamma Data'!C82))</f>
        <v/>
      </c>
      <c r="D82" s="4">
        <f>IF(A82="","",IF(C82=0,"-",IF(AND('Gamma Data'!B82&gt;0,'Gamma Data'!B82&gt;='Gamma Data'!C82*1.5),"Call Wall",IF(AND('Gamma Data'!C82&gt;0,'Gamma Data'!C82&gt;='Gamma Data'!B82*1.5),"Put Wall","(mixed)"))))</f>
        <v/>
      </c>
      <c r="E82" s="5">
        <f>IF(OR(A82="",$J$12=0),"",C82/$J$12)</f>
        <v/>
      </c>
      <c r="F82" s="4">
        <f>IF(A82="","",IF(C82&gt;=2*$J$12,"จุดหนืด",IF(C82&lt;=0.5*$J$12,"air pocket","")))</f>
        <v/>
      </c>
      <c r="H82" s="6">
        <f>IF(AND(A82&gt;=$J$6,'Gamma Data'!B82&gt;0,'Gamma Data'!B82&gt;='Gamma Data'!C82*1.5),'Gamma Data'!B82,0)</f>
        <v/>
      </c>
      <c r="AB82">
        <f>IF(NOT(ISNUMBER('Gamma Data'!A82)),"",IF((ABS('Gamma Data'!B82)+ABS('Gamma Data'!C82))=0,"",IF(OR(ABS('Gamma Data'!A82-$J$6)&gt;$J$6*$J$26,ABS('Gamma Data'!A82-$J$6)&lt;$J$28),"",(ABS('Gamma Data'!B82)+ABS('Gamma Data'!C82))/MAX(ABS('Gamma Data'!A82-$J$6)/($J$6*0.005),1)+ROW()/1000000000)))</f>
        <v/>
      </c>
    </row>
    <row r="83" ht="15" customHeight="1" s="35">
      <c r="A83" s="3">
        <f>IF('Gamma Data'!A83="","",'Gamma Data'!A83)</f>
        <v/>
      </c>
      <c r="B83" s="3">
        <f>IF(A83="","",'Gamma Data'!B83-'Gamma Data'!C83)</f>
        <v/>
      </c>
      <c r="C83" s="3">
        <f>IF(A83="","",ABS('Gamma Data'!B83)+ABS('Gamma Data'!C83))</f>
        <v/>
      </c>
      <c r="D83" s="4">
        <f>IF(A83="","",IF(C83=0,"-",IF(AND('Gamma Data'!B83&gt;0,'Gamma Data'!B83&gt;='Gamma Data'!C83*1.5),"Call Wall",IF(AND('Gamma Data'!C83&gt;0,'Gamma Data'!C83&gt;='Gamma Data'!B83*1.5),"Put Wall","(mixed)"))))</f>
        <v/>
      </c>
      <c r="E83" s="5">
        <f>IF(OR(A83="",$J$12=0),"",C83/$J$12)</f>
        <v/>
      </c>
      <c r="F83" s="4">
        <f>IF(A83="","",IF(C83&gt;=2*$J$12,"จุดหนืด",IF(C83&lt;=0.5*$J$12,"air pocket","")))</f>
        <v/>
      </c>
      <c r="H83" s="6">
        <f>IF(AND(A83&gt;=$J$6,'Gamma Data'!B83&gt;0,'Gamma Data'!B83&gt;='Gamma Data'!C83*1.5),'Gamma Data'!B83,0)</f>
        <v/>
      </c>
      <c r="AB83">
        <f>IF(NOT(ISNUMBER('Gamma Data'!A83)),"",IF((ABS('Gamma Data'!B83)+ABS('Gamma Data'!C83))=0,"",IF(OR(ABS('Gamma Data'!A83-$J$6)&gt;$J$6*$J$26,ABS('Gamma Data'!A83-$J$6)&lt;$J$28),"",(ABS('Gamma Data'!B83)+ABS('Gamma Data'!C83))/MAX(ABS('Gamma Data'!A83-$J$6)/($J$6*0.005),1)+ROW()/1000000000)))</f>
        <v/>
      </c>
    </row>
    <row r="84" ht="15" customHeight="1" s="35">
      <c r="A84" s="3">
        <f>IF('Gamma Data'!A84="","",'Gamma Data'!A84)</f>
        <v/>
      </c>
      <c r="B84" s="3">
        <f>IF(A84="","",'Gamma Data'!B84-'Gamma Data'!C84)</f>
        <v/>
      </c>
      <c r="C84" s="3">
        <f>IF(A84="","",ABS('Gamma Data'!B84)+ABS('Gamma Data'!C84))</f>
        <v/>
      </c>
      <c r="D84" s="4">
        <f>IF(A84="","",IF(C84=0,"-",IF(AND('Gamma Data'!B84&gt;0,'Gamma Data'!B84&gt;='Gamma Data'!C84*1.5),"Call Wall",IF(AND('Gamma Data'!C84&gt;0,'Gamma Data'!C84&gt;='Gamma Data'!B84*1.5),"Put Wall","(mixed)"))))</f>
        <v/>
      </c>
      <c r="E84" s="5">
        <f>IF(OR(A84="",$J$12=0),"",C84/$J$12)</f>
        <v/>
      </c>
      <c r="F84" s="4">
        <f>IF(A84="","",IF(C84&gt;=2*$J$12,"จุดหนืด",IF(C84&lt;=0.5*$J$12,"air pocket","")))</f>
        <v/>
      </c>
      <c r="H84" s="6">
        <f>IF(AND(A84&gt;=$J$6,'Gamma Data'!B84&gt;0,'Gamma Data'!B84&gt;='Gamma Data'!C84*1.5),'Gamma Data'!B84,0)</f>
        <v/>
      </c>
      <c r="AB84">
        <f>IF(NOT(ISNUMBER('Gamma Data'!A84)),"",IF((ABS('Gamma Data'!B84)+ABS('Gamma Data'!C84))=0,"",IF(OR(ABS('Gamma Data'!A84-$J$6)&gt;$J$6*$J$26,ABS('Gamma Data'!A84-$J$6)&lt;$J$28),"",(ABS('Gamma Data'!B84)+ABS('Gamma Data'!C84))/MAX(ABS('Gamma Data'!A84-$J$6)/($J$6*0.005),1)+ROW()/1000000000)))</f>
        <v/>
      </c>
    </row>
    <row r="85" ht="15" customHeight="1" s="35">
      <c r="A85" s="3">
        <f>IF('Gamma Data'!A85="","",'Gamma Data'!A85)</f>
        <v/>
      </c>
      <c r="B85" s="3">
        <f>IF(A85="","",'Gamma Data'!B85-'Gamma Data'!C85)</f>
        <v/>
      </c>
      <c r="C85" s="3">
        <f>IF(A85="","",ABS('Gamma Data'!B85)+ABS('Gamma Data'!C85))</f>
        <v/>
      </c>
      <c r="D85" s="4">
        <f>IF(A85="","",IF(C85=0,"-",IF(AND('Gamma Data'!B85&gt;0,'Gamma Data'!B85&gt;='Gamma Data'!C85*1.5),"Call Wall",IF(AND('Gamma Data'!C85&gt;0,'Gamma Data'!C85&gt;='Gamma Data'!B85*1.5),"Put Wall","(mixed)"))))</f>
        <v/>
      </c>
      <c r="E85" s="5">
        <f>IF(OR(A85="",$J$12=0),"",C85/$J$12)</f>
        <v/>
      </c>
      <c r="F85" s="4">
        <f>IF(A85="","",IF(C85&gt;=2*$J$12,"จุดหนืด",IF(C85&lt;=0.5*$J$12,"air pocket","")))</f>
        <v/>
      </c>
      <c r="H85" s="6">
        <f>IF(AND(A85&gt;=$J$6,'Gamma Data'!B85&gt;0,'Gamma Data'!B85&gt;='Gamma Data'!C85*1.5),'Gamma Data'!B85,0)</f>
        <v/>
      </c>
      <c r="AB85">
        <f>IF(NOT(ISNUMBER('Gamma Data'!A85)),"",IF((ABS('Gamma Data'!B85)+ABS('Gamma Data'!C85))=0,"",IF(OR(ABS('Gamma Data'!A85-$J$6)&gt;$J$6*$J$26,ABS('Gamma Data'!A85-$J$6)&lt;$J$28),"",(ABS('Gamma Data'!B85)+ABS('Gamma Data'!C85))/MAX(ABS('Gamma Data'!A85-$J$6)/($J$6*0.005),1)+ROW()/1000000000)))</f>
        <v/>
      </c>
    </row>
    <row r="86" ht="15" customHeight="1" s="35">
      <c r="A86" s="3">
        <f>IF('Gamma Data'!A86="","",'Gamma Data'!A86)</f>
        <v/>
      </c>
      <c r="B86" s="3">
        <f>IF(A86="","",'Gamma Data'!B86-'Gamma Data'!C86)</f>
        <v/>
      </c>
      <c r="C86" s="3">
        <f>IF(A86="","",ABS('Gamma Data'!B86)+ABS('Gamma Data'!C86))</f>
        <v/>
      </c>
      <c r="D86" s="4">
        <f>IF(A86="","",IF(C86=0,"-",IF(AND('Gamma Data'!B86&gt;0,'Gamma Data'!B86&gt;='Gamma Data'!C86*1.5),"Call Wall",IF(AND('Gamma Data'!C86&gt;0,'Gamma Data'!C86&gt;='Gamma Data'!B86*1.5),"Put Wall","(mixed)"))))</f>
        <v/>
      </c>
      <c r="E86" s="5">
        <f>IF(OR(A86="",$J$12=0),"",C86/$J$12)</f>
        <v/>
      </c>
      <c r="F86" s="4">
        <f>IF(A86="","",IF(C86&gt;=2*$J$12,"จุดหนืด",IF(C86&lt;=0.5*$J$12,"air pocket","")))</f>
        <v/>
      </c>
      <c r="H86" s="6">
        <f>IF(AND(A86&gt;=$J$6,'Gamma Data'!B86&gt;0,'Gamma Data'!B86&gt;='Gamma Data'!C86*1.5),'Gamma Data'!B86,0)</f>
        <v/>
      </c>
      <c r="AB86">
        <f>IF(NOT(ISNUMBER('Gamma Data'!A86)),"",IF((ABS('Gamma Data'!B86)+ABS('Gamma Data'!C86))=0,"",IF(OR(ABS('Gamma Data'!A86-$J$6)&gt;$J$6*$J$26,ABS('Gamma Data'!A86-$J$6)&lt;$J$28),"",(ABS('Gamma Data'!B86)+ABS('Gamma Data'!C86))/MAX(ABS('Gamma Data'!A86-$J$6)/($J$6*0.005),1)+ROW()/1000000000)))</f>
        <v/>
      </c>
    </row>
    <row r="87" ht="15" customHeight="1" s="35">
      <c r="A87" s="3">
        <f>IF('Gamma Data'!A87="","",'Gamma Data'!A87)</f>
        <v/>
      </c>
      <c r="B87" s="3">
        <f>IF(A87="","",'Gamma Data'!B87-'Gamma Data'!C87)</f>
        <v/>
      </c>
      <c r="C87" s="3">
        <f>IF(A87="","",ABS('Gamma Data'!B87)+ABS('Gamma Data'!C87))</f>
        <v/>
      </c>
      <c r="D87" s="4">
        <f>IF(A87="","",IF(C87=0,"-",IF(AND('Gamma Data'!B87&gt;0,'Gamma Data'!B87&gt;='Gamma Data'!C87*1.5),"Call Wall",IF(AND('Gamma Data'!C87&gt;0,'Gamma Data'!C87&gt;='Gamma Data'!B87*1.5),"Put Wall","(mixed)"))))</f>
        <v/>
      </c>
      <c r="E87" s="5">
        <f>IF(OR(A87="",$J$12=0),"",C87/$J$12)</f>
        <v/>
      </c>
      <c r="F87" s="4">
        <f>IF(A87="","",IF(C87&gt;=2*$J$12,"จุดหนืด",IF(C87&lt;=0.5*$J$12,"air pocket","")))</f>
        <v/>
      </c>
      <c r="H87" s="6">
        <f>IF(AND(A87&gt;=$J$6,'Gamma Data'!B87&gt;0,'Gamma Data'!B87&gt;='Gamma Data'!C87*1.5),'Gamma Data'!B87,0)</f>
        <v/>
      </c>
      <c r="AB87">
        <f>IF(NOT(ISNUMBER('Gamma Data'!A87)),"",IF((ABS('Gamma Data'!B87)+ABS('Gamma Data'!C87))=0,"",IF(OR(ABS('Gamma Data'!A87-$J$6)&gt;$J$6*$J$26,ABS('Gamma Data'!A87-$J$6)&lt;$J$28),"",(ABS('Gamma Data'!B87)+ABS('Gamma Data'!C87))/MAX(ABS('Gamma Data'!A87-$J$6)/($J$6*0.005),1)+ROW()/1000000000)))</f>
        <v/>
      </c>
    </row>
    <row r="88" ht="15" customHeight="1" s="35">
      <c r="A88" s="3">
        <f>IF('Gamma Data'!A88="","",'Gamma Data'!A88)</f>
        <v/>
      </c>
      <c r="B88" s="3">
        <f>IF(A88="","",'Gamma Data'!B88-'Gamma Data'!C88)</f>
        <v/>
      </c>
      <c r="C88" s="3">
        <f>IF(A88="","",ABS('Gamma Data'!B88)+ABS('Gamma Data'!C88))</f>
        <v/>
      </c>
      <c r="D88" s="4">
        <f>IF(A88="","",IF(C88=0,"-",IF(AND('Gamma Data'!B88&gt;0,'Gamma Data'!B88&gt;='Gamma Data'!C88*1.5),"Call Wall",IF(AND('Gamma Data'!C88&gt;0,'Gamma Data'!C88&gt;='Gamma Data'!B88*1.5),"Put Wall","(mixed)"))))</f>
        <v/>
      </c>
      <c r="E88" s="5">
        <f>IF(OR(A88="",$J$12=0),"",C88/$J$12)</f>
        <v/>
      </c>
      <c r="F88" s="4">
        <f>IF(A88="","",IF(C88&gt;=2*$J$12,"จุดหนืด",IF(C88&lt;=0.5*$J$12,"air pocket","")))</f>
        <v/>
      </c>
      <c r="H88" s="6">
        <f>IF(AND(A88&gt;=$J$6,'Gamma Data'!B88&gt;0,'Gamma Data'!B88&gt;='Gamma Data'!C88*1.5),'Gamma Data'!B88,0)</f>
        <v/>
      </c>
      <c r="AB88">
        <f>IF(NOT(ISNUMBER('Gamma Data'!A88)),"",IF((ABS('Gamma Data'!B88)+ABS('Gamma Data'!C88))=0,"",IF(OR(ABS('Gamma Data'!A88-$J$6)&gt;$J$6*$J$26,ABS('Gamma Data'!A88-$J$6)&lt;$J$28),"",(ABS('Gamma Data'!B88)+ABS('Gamma Data'!C88))/MAX(ABS('Gamma Data'!A88-$J$6)/($J$6*0.005),1)+ROW()/1000000000)))</f>
        <v/>
      </c>
    </row>
    <row r="89" ht="15" customHeight="1" s="35">
      <c r="A89" s="3">
        <f>IF('Gamma Data'!A89="","",'Gamma Data'!A89)</f>
        <v/>
      </c>
      <c r="B89" s="3">
        <f>IF(A89="","",'Gamma Data'!B89-'Gamma Data'!C89)</f>
        <v/>
      </c>
      <c r="C89" s="3">
        <f>IF(A89="","",ABS('Gamma Data'!B89)+ABS('Gamma Data'!C89))</f>
        <v/>
      </c>
      <c r="D89" s="4">
        <f>IF(A89="","",IF(C89=0,"-",IF(AND('Gamma Data'!B89&gt;0,'Gamma Data'!B89&gt;='Gamma Data'!C89*1.5),"Call Wall",IF(AND('Gamma Data'!C89&gt;0,'Gamma Data'!C89&gt;='Gamma Data'!B89*1.5),"Put Wall","(mixed)"))))</f>
        <v/>
      </c>
      <c r="E89" s="5">
        <f>IF(OR(A89="",$J$12=0),"",C89/$J$12)</f>
        <v/>
      </c>
      <c r="F89" s="4">
        <f>IF(A89="","",IF(C89&gt;=2*$J$12,"จุดหนืด",IF(C89&lt;=0.5*$J$12,"air pocket","")))</f>
        <v/>
      </c>
      <c r="H89" s="6">
        <f>IF(AND(A89&gt;=$J$6,'Gamma Data'!B89&gt;0,'Gamma Data'!B89&gt;='Gamma Data'!C89*1.5),'Gamma Data'!B89,0)</f>
        <v/>
      </c>
      <c r="AB89">
        <f>IF(NOT(ISNUMBER('Gamma Data'!A89)),"",IF((ABS('Gamma Data'!B89)+ABS('Gamma Data'!C89))=0,"",IF(OR(ABS('Gamma Data'!A89-$J$6)&gt;$J$6*$J$26,ABS('Gamma Data'!A89-$J$6)&lt;$J$28),"",(ABS('Gamma Data'!B89)+ABS('Gamma Data'!C89))/MAX(ABS('Gamma Data'!A89-$J$6)/($J$6*0.005),1)+ROW()/1000000000)))</f>
        <v/>
      </c>
    </row>
    <row r="90" ht="15" customHeight="1" s="35">
      <c r="A90" s="3">
        <f>IF('Gamma Data'!A90="","",'Gamma Data'!A90)</f>
        <v/>
      </c>
      <c r="B90" s="3">
        <f>IF(A90="","",'Gamma Data'!B90-'Gamma Data'!C90)</f>
        <v/>
      </c>
      <c r="C90" s="3">
        <f>IF(A90="","",ABS('Gamma Data'!B90)+ABS('Gamma Data'!C90))</f>
        <v/>
      </c>
      <c r="D90" s="4">
        <f>IF(A90="","",IF(C90=0,"-",IF(AND('Gamma Data'!B90&gt;0,'Gamma Data'!B90&gt;='Gamma Data'!C90*1.5),"Call Wall",IF(AND('Gamma Data'!C90&gt;0,'Gamma Data'!C90&gt;='Gamma Data'!B90*1.5),"Put Wall","(mixed)"))))</f>
        <v/>
      </c>
      <c r="E90" s="5">
        <f>IF(OR(A90="",$J$12=0),"",C90/$J$12)</f>
        <v/>
      </c>
      <c r="F90" s="4">
        <f>IF(A90="","",IF(C90&gt;=2*$J$12,"จุดหนืด",IF(C90&lt;=0.5*$J$12,"air pocket","")))</f>
        <v/>
      </c>
      <c r="H90" s="6">
        <f>IF(AND(A90&gt;=$J$6,'Gamma Data'!B90&gt;0,'Gamma Data'!B90&gt;='Gamma Data'!C90*1.5),'Gamma Data'!B90,0)</f>
        <v/>
      </c>
      <c r="AB90">
        <f>IF(NOT(ISNUMBER('Gamma Data'!A90)),"",IF((ABS('Gamma Data'!B90)+ABS('Gamma Data'!C90))=0,"",IF(OR(ABS('Gamma Data'!A90-$J$6)&gt;$J$6*$J$26,ABS('Gamma Data'!A90-$J$6)&lt;$J$28),"",(ABS('Gamma Data'!B90)+ABS('Gamma Data'!C90))/MAX(ABS('Gamma Data'!A90-$J$6)/($J$6*0.005),1)+ROW()/1000000000)))</f>
        <v/>
      </c>
    </row>
    <row r="91" ht="15" customHeight="1" s="35">
      <c r="A91" s="3">
        <f>IF('Gamma Data'!A91="","",'Gamma Data'!A91)</f>
        <v/>
      </c>
      <c r="B91" s="3">
        <f>IF(A91="","",'Gamma Data'!B91-'Gamma Data'!C91)</f>
        <v/>
      </c>
      <c r="C91" s="3">
        <f>IF(A91="","",ABS('Gamma Data'!B91)+ABS('Gamma Data'!C91))</f>
        <v/>
      </c>
      <c r="D91" s="4">
        <f>IF(A91="","",IF(C91=0,"-",IF(AND('Gamma Data'!B91&gt;0,'Gamma Data'!B91&gt;='Gamma Data'!C91*1.5),"Call Wall",IF(AND('Gamma Data'!C91&gt;0,'Gamma Data'!C91&gt;='Gamma Data'!B91*1.5),"Put Wall","(mixed)"))))</f>
        <v/>
      </c>
      <c r="E91" s="5">
        <f>IF(OR(A91="",$J$12=0),"",C91/$J$12)</f>
        <v/>
      </c>
      <c r="F91" s="4">
        <f>IF(A91="","",IF(C91&gt;=2*$J$12,"จุดหนืด",IF(C91&lt;=0.5*$J$12,"air pocket","")))</f>
        <v/>
      </c>
      <c r="H91" s="6">
        <f>IF(AND(A91&gt;=$J$6,'Gamma Data'!B91&gt;0,'Gamma Data'!B91&gt;='Gamma Data'!C91*1.5),'Gamma Data'!B91,0)</f>
        <v/>
      </c>
      <c r="AB91">
        <f>IF(NOT(ISNUMBER('Gamma Data'!A91)),"",IF((ABS('Gamma Data'!B91)+ABS('Gamma Data'!C91))=0,"",IF(OR(ABS('Gamma Data'!A91-$J$6)&gt;$J$6*$J$26,ABS('Gamma Data'!A91-$J$6)&lt;$J$28),"",(ABS('Gamma Data'!B91)+ABS('Gamma Data'!C91))/MAX(ABS('Gamma Data'!A91-$J$6)/($J$6*0.005),1)+ROW()/1000000000)))</f>
        <v/>
      </c>
    </row>
    <row r="92" ht="15" customHeight="1" s="35">
      <c r="A92" s="3">
        <f>IF('Gamma Data'!A92="","",'Gamma Data'!A92)</f>
        <v/>
      </c>
      <c r="B92" s="3">
        <f>IF(A92="","",'Gamma Data'!B92-'Gamma Data'!C92)</f>
        <v/>
      </c>
      <c r="C92" s="3">
        <f>IF(A92="","",ABS('Gamma Data'!B92)+ABS('Gamma Data'!C92))</f>
        <v/>
      </c>
      <c r="D92" s="4">
        <f>IF(A92="","",IF(C92=0,"-",IF(AND('Gamma Data'!B92&gt;0,'Gamma Data'!B92&gt;='Gamma Data'!C92*1.5),"Call Wall",IF(AND('Gamma Data'!C92&gt;0,'Gamma Data'!C92&gt;='Gamma Data'!B92*1.5),"Put Wall","(mixed)"))))</f>
        <v/>
      </c>
      <c r="E92" s="5">
        <f>IF(OR(A92="",$J$12=0),"",C92/$J$12)</f>
        <v/>
      </c>
      <c r="F92" s="4">
        <f>IF(A92="","",IF(C92&gt;=2*$J$12,"จุดหนืด",IF(C92&lt;=0.5*$J$12,"air pocket","")))</f>
        <v/>
      </c>
      <c r="H92" s="6">
        <f>IF(AND(A92&gt;=$J$6,'Gamma Data'!B92&gt;0,'Gamma Data'!B92&gt;='Gamma Data'!C92*1.5),'Gamma Data'!B92,0)</f>
        <v/>
      </c>
      <c r="AB92">
        <f>IF(NOT(ISNUMBER('Gamma Data'!A92)),"",IF((ABS('Gamma Data'!B92)+ABS('Gamma Data'!C92))=0,"",IF(OR(ABS('Gamma Data'!A92-$J$6)&gt;$J$6*$J$26,ABS('Gamma Data'!A92-$J$6)&lt;$J$28),"",(ABS('Gamma Data'!B92)+ABS('Gamma Data'!C92))/MAX(ABS('Gamma Data'!A92-$J$6)/($J$6*0.005),1)+ROW()/1000000000)))</f>
        <v/>
      </c>
    </row>
    <row r="93" ht="15" customHeight="1" s="35">
      <c r="A93" s="3">
        <f>IF('Gamma Data'!A93="","",'Gamma Data'!A93)</f>
        <v/>
      </c>
      <c r="B93" s="3">
        <f>IF(A93="","",'Gamma Data'!B93-'Gamma Data'!C93)</f>
        <v/>
      </c>
      <c r="C93" s="3">
        <f>IF(A93="","",ABS('Gamma Data'!B93)+ABS('Gamma Data'!C93))</f>
        <v/>
      </c>
      <c r="D93" s="4">
        <f>IF(A93="","",IF(C93=0,"-",IF(AND('Gamma Data'!B93&gt;0,'Gamma Data'!B93&gt;='Gamma Data'!C93*1.5),"Call Wall",IF(AND('Gamma Data'!C93&gt;0,'Gamma Data'!C93&gt;='Gamma Data'!B93*1.5),"Put Wall","(mixed)"))))</f>
        <v/>
      </c>
      <c r="E93" s="5">
        <f>IF(OR(A93="",$J$12=0),"",C93/$J$12)</f>
        <v/>
      </c>
      <c r="F93" s="4">
        <f>IF(A93="","",IF(C93&gt;=2*$J$12,"จุดหนืด",IF(C93&lt;=0.5*$J$12,"air pocket","")))</f>
        <v/>
      </c>
      <c r="H93" s="6">
        <f>IF(AND(A93&gt;=$J$6,'Gamma Data'!B93&gt;0,'Gamma Data'!B93&gt;='Gamma Data'!C93*1.5),'Gamma Data'!B93,0)</f>
        <v/>
      </c>
      <c r="AB93">
        <f>IF(NOT(ISNUMBER('Gamma Data'!A93)),"",IF((ABS('Gamma Data'!B93)+ABS('Gamma Data'!C93))=0,"",IF(OR(ABS('Gamma Data'!A93-$J$6)&gt;$J$6*$J$26,ABS('Gamma Data'!A93-$J$6)&lt;$J$28),"",(ABS('Gamma Data'!B93)+ABS('Gamma Data'!C93))/MAX(ABS('Gamma Data'!A93-$J$6)/($J$6*0.005),1)+ROW()/1000000000)))</f>
        <v/>
      </c>
    </row>
    <row r="94" ht="15" customHeight="1" s="35">
      <c r="A94" s="3">
        <f>IF('Gamma Data'!A94="","",'Gamma Data'!A94)</f>
        <v/>
      </c>
      <c r="B94" s="3">
        <f>IF(A94="","",'Gamma Data'!B94-'Gamma Data'!C94)</f>
        <v/>
      </c>
      <c r="C94" s="3">
        <f>IF(A94="","",ABS('Gamma Data'!B94)+ABS('Gamma Data'!C94))</f>
        <v/>
      </c>
      <c r="D94" s="4">
        <f>IF(A94="","",IF(C94=0,"-",IF(AND('Gamma Data'!B94&gt;0,'Gamma Data'!B94&gt;='Gamma Data'!C94*1.5),"Call Wall",IF(AND('Gamma Data'!C94&gt;0,'Gamma Data'!C94&gt;='Gamma Data'!B94*1.5),"Put Wall","(mixed)"))))</f>
        <v/>
      </c>
      <c r="E94" s="5">
        <f>IF(OR(A94="",$J$12=0),"",C94/$J$12)</f>
        <v/>
      </c>
      <c r="F94" s="4">
        <f>IF(A94="","",IF(C94&gt;=2*$J$12,"จุดหนืด",IF(C94&lt;=0.5*$J$12,"air pocket","")))</f>
        <v/>
      </c>
      <c r="H94" s="6">
        <f>IF(AND(A94&gt;=$J$6,'Gamma Data'!B94&gt;0,'Gamma Data'!B94&gt;='Gamma Data'!C94*1.5),'Gamma Data'!B94,0)</f>
        <v/>
      </c>
      <c r="AB94">
        <f>IF(NOT(ISNUMBER('Gamma Data'!A94)),"",IF((ABS('Gamma Data'!B94)+ABS('Gamma Data'!C94))=0,"",IF(OR(ABS('Gamma Data'!A94-$J$6)&gt;$J$6*$J$26,ABS('Gamma Data'!A94-$J$6)&lt;$J$28),"",(ABS('Gamma Data'!B94)+ABS('Gamma Data'!C94))/MAX(ABS('Gamma Data'!A94-$J$6)/($J$6*0.005),1)+ROW()/1000000000)))</f>
        <v/>
      </c>
    </row>
    <row r="95" ht="15" customHeight="1" s="35">
      <c r="A95" s="3">
        <f>IF('Gamma Data'!A95="","",'Gamma Data'!A95)</f>
        <v/>
      </c>
      <c r="B95" s="3">
        <f>IF(A95="","",'Gamma Data'!B95-'Gamma Data'!C95)</f>
        <v/>
      </c>
      <c r="C95" s="3">
        <f>IF(A95="","",ABS('Gamma Data'!B95)+ABS('Gamma Data'!C95))</f>
        <v/>
      </c>
      <c r="D95" s="4">
        <f>IF(A95="","",IF(C95=0,"-",IF(AND('Gamma Data'!B95&gt;0,'Gamma Data'!B95&gt;='Gamma Data'!C95*1.5),"Call Wall",IF(AND('Gamma Data'!C95&gt;0,'Gamma Data'!C95&gt;='Gamma Data'!B95*1.5),"Put Wall","(mixed)"))))</f>
        <v/>
      </c>
      <c r="E95" s="5">
        <f>IF(OR(A95="",$J$12=0),"",C95/$J$12)</f>
        <v/>
      </c>
      <c r="F95" s="4">
        <f>IF(A95="","",IF(C95&gt;=2*$J$12,"จุดหนืด",IF(C95&lt;=0.5*$J$12,"air pocket","")))</f>
        <v/>
      </c>
      <c r="H95" s="6">
        <f>IF(AND(A95&gt;=$J$6,'Gamma Data'!B95&gt;0,'Gamma Data'!B95&gt;='Gamma Data'!C95*1.5),'Gamma Data'!B95,0)</f>
        <v/>
      </c>
      <c r="AB95">
        <f>IF(NOT(ISNUMBER('Gamma Data'!A95)),"",IF((ABS('Gamma Data'!B95)+ABS('Gamma Data'!C95))=0,"",IF(OR(ABS('Gamma Data'!A95-$J$6)&gt;$J$6*$J$26,ABS('Gamma Data'!A95-$J$6)&lt;$J$28),"",(ABS('Gamma Data'!B95)+ABS('Gamma Data'!C95))/MAX(ABS('Gamma Data'!A95-$J$6)/($J$6*0.005),1)+ROW()/1000000000)))</f>
        <v/>
      </c>
    </row>
    <row r="96" ht="15" customHeight="1" s="35">
      <c r="A96" s="3">
        <f>IF('Gamma Data'!A96="","",'Gamma Data'!A96)</f>
        <v/>
      </c>
      <c r="B96" s="3">
        <f>IF(A96="","",'Gamma Data'!B96-'Gamma Data'!C96)</f>
        <v/>
      </c>
      <c r="C96" s="3">
        <f>IF(A96="","",ABS('Gamma Data'!B96)+ABS('Gamma Data'!C96))</f>
        <v/>
      </c>
      <c r="D96" s="4">
        <f>IF(A96="","",IF(C96=0,"-",IF(AND('Gamma Data'!B96&gt;0,'Gamma Data'!B96&gt;='Gamma Data'!C96*1.5),"Call Wall",IF(AND('Gamma Data'!C96&gt;0,'Gamma Data'!C96&gt;='Gamma Data'!B96*1.5),"Put Wall","(mixed)"))))</f>
        <v/>
      </c>
      <c r="E96" s="5">
        <f>IF(OR(A96="",$J$12=0),"",C96/$J$12)</f>
        <v/>
      </c>
      <c r="F96" s="4">
        <f>IF(A96="","",IF(C96&gt;=2*$J$12,"จุดหนืด",IF(C96&lt;=0.5*$J$12,"air pocket","")))</f>
        <v/>
      </c>
      <c r="H96" s="6">
        <f>IF(AND(A96&gt;=$J$6,'Gamma Data'!B96&gt;0,'Gamma Data'!B96&gt;='Gamma Data'!C96*1.5),'Gamma Data'!B96,0)</f>
        <v/>
      </c>
      <c r="AB96">
        <f>IF(NOT(ISNUMBER('Gamma Data'!A96)),"",IF((ABS('Gamma Data'!B96)+ABS('Gamma Data'!C96))=0,"",IF(OR(ABS('Gamma Data'!A96-$J$6)&gt;$J$6*$J$26,ABS('Gamma Data'!A96-$J$6)&lt;$J$28),"",(ABS('Gamma Data'!B96)+ABS('Gamma Data'!C96))/MAX(ABS('Gamma Data'!A96-$J$6)/($J$6*0.005),1)+ROW()/1000000000)))</f>
        <v/>
      </c>
    </row>
    <row r="97" ht="15" customHeight="1" s="35">
      <c r="A97" s="3">
        <f>IF('Gamma Data'!A97="","",'Gamma Data'!A97)</f>
        <v/>
      </c>
      <c r="B97" s="3">
        <f>IF(A97="","",'Gamma Data'!B97-'Gamma Data'!C97)</f>
        <v/>
      </c>
      <c r="C97" s="3">
        <f>IF(A97="","",ABS('Gamma Data'!B97)+ABS('Gamma Data'!C97))</f>
        <v/>
      </c>
      <c r="D97" s="4">
        <f>IF(A97="","",IF(C97=0,"-",IF(AND('Gamma Data'!B97&gt;0,'Gamma Data'!B97&gt;='Gamma Data'!C97*1.5),"Call Wall",IF(AND('Gamma Data'!C97&gt;0,'Gamma Data'!C97&gt;='Gamma Data'!B97*1.5),"Put Wall","(mixed)"))))</f>
        <v/>
      </c>
      <c r="E97" s="5">
        <f>IF(OR(A97="",$J$12=0),"",C97/$J$12)</f>
        <v/>
      </c>
      <c r="F97" s="4">
        <f>IF(A97="","",IF(C97&gt;=2*$J$12,"จุดหนืด",IF(C97&lt;=0.5*$J$12,"air pocket","")))</f>
        <v/>
      </c>
      <c r="H97" s="6">
        <f>IF(AND(A97&gt;=$J$6,'Gamma Data'!B97&gt;0,'Gamma Data'!B97&gt;='Gamma Data'!C97*1.5),'Gamma Data'!B97,0)</f>
        <v/>
      </c>
      <c r="AB97">
        <f>IF(NOT(ISNUMBER('Gamma Data'!A97)),"",IF((ABS('Gamma Data'!B97)+ABS('Gamma Data'!C97))=0,"",IF(OR(ABS('Gamma Data'!A97-$J$6)&gt;$J$6*$J$26,ABS('Gamma Data'!A97-$J$6)&lt;$J$28),"",(ABS('Gamma Data'!B97)+ABS('Gamma Data'!C97))/MAX(ABS('Gamma Data'!A97-$J$6)/($J$6*0.005),1)+ROW()/1000000000)))</f>
        <v/>
      </c>
    </row>
    <row r="98" ht="15" customHeight="1" s="35">
      <c r="A98" s="3">
        <f>IF('Gamma Data'!A98="","",'Gamma Data'!A98)</f>
        <v/>
      </c>
      <c r="B98" s="3">
        <f>IF(A98="","",'Gamma Data'!B98-'Gamma Data'!C98)</f>
        <v/>
      </c>
      <c r="C98" s="3">
        <f>IF(A98="","",ABS('Gamma Data'!B98)+ABS('Gamma Data'!C98))</f>
        <v/>
      </c>
      <c r="D98" s="4">
        <f>IF(A98="","",IF(C98=0,"-",IF(AND('Gamma Data'!B98&gt;0,'Gamma Data'!B98&gt;='Gamma Data'!C98*1.5),"Call Wall",IF(AND('Gamma Data'!C98&gt;0,'Gamma Data'!C98&gt;='Gamma Data'!B98*1.5),"Put Wall","(mixed)"))))</f>
        <v/>
      </c>
      <c r="E98" s="5">
        <f>IF(OR(A98="",$J$12=0),"",C98/$J$12)</f>
        <v/>
      </c>
      <c r="F98" s="4">
        <f>IF(A98="","",IF(C98&gt;=2*$J$12,"จุดหนืด",IF(C98&lt;=0.5*$J$12,"air pocket","")))</f>
        <v/>
      </c>
      <c r="H98" s="6">
        <f>IF(AND(A98&gt;=$J$6,'Gamma Data'!B98&gt;0,'Gamma Data'!B98&gt;='Gamma Data'!C98*1.5),'Gamma Data'!B98,0)</f>
        <v/>
      </c>
      <c r="AB98">
        <f>IF(NOT(ISNUMBER('Gamma Data'!A98)),"",IF((ABS('Gamma Data'!B98)+ABS('Gamma Data'!C98))=0,"",IF(OR(ABS('Gamma Data'!A98-$J$6)&gt;$J$6*$J$26,ABS('Gamma Data'!A98-$J$6)&lt;$J$28),"",(ABS('Gamma Data'!B98)+ABS('Gamma Data'!C98))/MAX(ABS('Gamma Data'!A98-$J$6)/($J$6*0.005),1)+ROW()/1000000000)))</f>
        <v/>
      </c>
    </row>
    <row r="99" ht="15" customHeight="1" s="35">
      <c r="A99" s="3">
        <f>IF('Gamma Data'!A99="","",'Gamma Data'!A99)</f>
        <v/>
      </c>
      <c r="B99" s="3">
        <f>IF(A99="","",'Gamma Data'!B99-'Gamma Data'!C99)</f>
        <v/>
      </c>
      <c r="C99" s="3">
        <f>IF(A99="","",ABS('Gamma Data'!B99)+ABS('Gamma Data'!C99))</f>
        <v/>
      </c>
      <c r="D99" s="4">
        <f>IF(A99="","",IF(C99=0,"-",IF(AND('Gamma Data'!B99&gt;0,'Gamma Data'!B99&gt;='Gamma Data'!C99*1.5),"Call Wall",IF(AND('Gamma Data'!C99&gt;0,'Gamma Data'!C99&gt;='Gamma Data'!B99*1.5),"Put Wall","(mixed)"))))</f>
        <v/>
      </c>
      <c r="E99" s="5">
        <f>IF(OR(A99="",$J$12=0),"",C99/$J$12)</f>
        <v/>
      </c>
      <c r="F99" s="4">
        <f>IF(A99="","",IF(C99&gt;=2*$J$12,"จุดหนืด",IF(C99&lt;=0.5*$J$12,"air pocket","")))</f>
        <v/>
      </c>
      <c r="H99" s="6">
        <f>IF(AND(A99&gt;=$J$6,'Gamma Data'!B99&gt;0,'Gamma Data'!B99&gt;='Gamma Data'!C99*1.5),'Gamma Data'!B99,0)</f>
        <v/>
      </c>
      <c r="AB99">
        <f>IF(NOT(ISNUMBER('Gamma Data'!A99)),"",IF((ABS('Gamma Data'!B99)+ABS('Gamma Data'!C99))=0,"",IF(OR(ABS('Gamma Data'!A99-$J$6)&gt;$J$6*$J$26,ABS('Gamma Data'!A99-$J$6)&lt;$J$28),"",(ABS('Gamma Data'!B99)+ABS('Gamma Data'!C99))/MAX(ABS('Gamma Data'!A99-$J$6)/($J$6*0.005),1)+ROW()/1000000000)))</f>
        <v/>
      </c>
    </row>
    <row r="100" ht="15" customHeight="1" s="35">
      <c r="A100" s="3">
        <f>IF('Gamma Data'!A100="","",'Gamma Data'!A100)</f>
        <v/>
      </c>
      <c r="B100" s="3">
        <f>IF(A100="","",'Gamma Data'!B100-'Gamma Data'!C100)</f>
        <v/>
      </c>
      <c r="C100" s="3">
        <f>IF(A100="","",ABS('Gamma Data'!B100)+ABS('Gamma Data'!C100))</f>
        <v/>
      </c>
      <c r="D100" s="4">
        <f>IF(A100="","",IF(C100=0,"-",IF(AND('Gamma Data'!B100&gt;0,'Gamma Data'!B100&gt;='Gamma Data'!C100*1.5),"Call Wall",IF(AND('Gamma Data'!C100&gt;0,'Gamma Data'!C100&gt;='Gamma Data'!B100*1.5),"Put Wall","(mixed)"))))</f>
        <v/>
      </c>
      <c r="E100" s="5">
        <f>IF(OR(A100="",$J$12=0),"",C100/$J$12)</f>
        <v/>
      </c>
      <c r="F100" s="4">
        <f>IF(A100="","",IF(C100&gt;=2*$J$12,"จุดหนืด",IF(C100&lt;=0.5*$J$12,"air pocket","")))</f>
        <v/>
      </c>
      <c r="H100" s="6">
        <f>IF(AND(A100&gt;=$J$6,'Gamma Data'!B100&gt;0,'Gamma Data'!B100&gt;='Gamma Data'!C100*1.5),'Gamma Data'!B100,0)</f>
        <v/>
      </c>
      <c r="AB100">
        <f>IF(NOT(ISNUMBER('Gamma Data'!A100)),"",IF((ABS('Gamma Data'!B100)+ABS('Gamma Data'!C100))=0,"",IF(OR(ABS('Gamma Data'!A100-$J$6)&gt;$J$6*$J$26,ABS('Gamma Data'!A100-$J$6)&lt;$J$28),"",(ABS('Gamma Data'!B100)+ABS('Gamma Data'!C100))/MAX(ABS('Gamma Data'!A100-$J$6)/($J$6*0.005),1)+ROW()/1000000000)))</f>
        <v/>
      </c>
    </row>
    <row r="101" ht="15" customHeight="1" s="35">
      <c r="A101" s="3">
        <f>IF('Gamma Data'!A101="","",'Gamma Data'!A101)</f>
        <v/>
      </c>
      <c r="B101" s="3">
        <f>IF(A101="","",'Gamma Data'!B101-'Gamma Data'!C101)</f>
        <v/>
      </c>
      <c r="C101" s="3">
        <f>IF(A101="","",ABS('Gamma Data'!B101)+ABS('Gamma Data'!C101))</f>
        <v/>
      </c>
      <c r="D101" s="4">
        <f>IF(A101="","",IF(C101=0,"-",IF(AND('Gamma Data'!B101&gt;0,'Gamma Data'!B101&gt;='Gamma Data'!C101*1.5),"Call Wall",IF(AND('Gamma Data'!C101&gt;0,'Gamma Data'!C101&gt;='Gamma Data'!B101*1.5),"Put Wall","(mixed)"))))</f>
        <v/>
      </c>
      <c r="E101" s="5">
        <f>IF(OR(A101="",$J$12=0),"",C101/$J$12)</f>
        <v/>
      </c>
      <c r="F101" s="4">
        <f>IF(A101="","",IF(C101&gt;=2*$J$12,"จุดหนืด",IF(C101&lt;=0.5*$J$12,"air pocket","")))</f>
        <v/>
      </c>
      <c r="H101" s="6">
        <f>IF(AND(A101&gt;=$J$6,'Gamma Data'!B101&gt;0,'Gamma Data'!B101&gt;='Gamma Data'!C101*1.5),'Gamma Data'!B101,0)</f>
        <v/>
      </c>
      <c r="AB101">
        <f>IF(NOT(ISNUMBER('Gamma Data'!A101)),"",IF((ABS('Gamma Data'!B101)+ABS('Gamma Data'!C101))=0,"",IF(OR(ABS('Gamma Data'!A101-$J$6)&gt;$J$6*$J$26,ABS('Gamma Data'!A101-$J$6)&lt;$J$28),"",(ABS('Gamma Data'!B101)+ABS('Gamma Data'!C101))/MAX(ABS('Gamma Data'!A101-$J$6)/($J$6*0.005),1)+ROW()/1000000000)))</f>
        <v/>
      </c>
    </row>
    <row r="102" ht="15" customHeight="1" s="35">
      <c r="A102" s="3">
        <f>IF('Gamma Data'!A102="","",'Gamma Data'!A102)</f>
        <v/>
      </c>
      <c r="B102" s="3">
        <f>IF(A102="","",'Gamma Data'!B102-'Gamma Data'!C102)</f>
        <v/>
      </c>
      <c r="C102" s="3">
        <f>IF(A102="","",ABS('Gamma Data'!B102)+ABS('Gamma Data'!C102))</f>
        <v/>
      </c>
      <c r="D102" s="4">
        <f>IF(A102="","",IF(C102=0,"-",IF(AND('Gamma Data'!B102&gt;0,'Gamma Data'!B102&gt;='Gamma Data'!C102*1.5),"Call Wall",IF(AND('Gamma Data'!C102&gt;0,'Gamma Data'!C102&gt;='Gamma Data'!B102*1.5),"Put Wall","(mixed)"))))</f>
        <v/>
      </c>
      <c r="E102" s="5">
        <f>IF(OR(A102="",$J$12=0),"",C102/$J$12)</f>
        <v/>
      </c>
      <c r="F102" s="4">
        <f>IF(A102="","",IF(C102&gt;=2*$J$12,"จุดหนืด",IF(C102&lt;=0.5*$J$12,"air pocket","")))</f>
        <v/>
      </c>
      <c r="H102" s="6">
        <f>IF(AND(A102&gt;=$J$6,'Gamma Data'!B102&gt;0,'Gamma Data'!B102&gt;='Gamma Data'!C102*1.5),'Gamma Data'!B102,0)</f>
        <v/>
      </c>
      <c r="AB102">
        <f>IF(NOT(ISNUMBER('Gamma Data'!A102)),"",IF((ABS('Gamma Data'!B102)+ABS('Gamma Data'!C102))=0,"",IF(OR(ABS('Gamma Data'!A102-$J$6)&gt;$J$6*$J$26,ABS('Gamma Data'!A102-$J$6)&lt;$J$28),"",(ABS('Gamma Data'!B102)+ABS('Gamma Data'!C102))/MAX(ABS('Gamma Data'!A102-$J$6)/($J$6*0.005),1)+ROW()/1000000000)))</f>
        <v/>
      </c>
    </row>
    <row r="103" ht="15" customHeight="1" s="35">
      <c r="A103" s="3">
        <f>IF('Gamma Data'!A103="","",'Gamma Data'!A103)</f>
        <v/>
      </c>
      <c r="B103" s="3">
        <f>IF(A103="","",'Gamma Data'!B103-'Gamma Data'!C103)</f>
        <v/>
      </c>
      <c r="C103" s="3">
        <f>IF(A103="","",ABS('Gamma Data'!B103)+ABS('Gamma Data'!C103))</f>
        <v/>
      </c>
      <c r="D103" s="4">
        <f>IF(A103="","",IF(C103=0,"-",IF(AND('Gamma Data'!B103&gt;0,'Gamma Data'!B103&gt;='Gamma Data'!C103*1.5),"Call Wall",IF(AND('Gamma Data'!C103&gt;0,'Gamma Data'!C103&gt;='Gamma Data'!B103*1.5),"Put Wall","(mixed)"))))</f>
        <v/>
      </c>
      <c r="E103" s="5">
        <f>IF(OR(A103="",$J$12=0),"",C103/$J$12)</f>
        <v/>
      </c>
      <c r="F103" s="4">
        <f>IF(A103="","",IF(C103&gt;=2*$J$12,"จุดหนืด",IF(C103&lt;=0.5*$J$12,"air pocket","")))</f>
        <v/>
      </c>
      <c r="H103" s="6">
        <f>IF(AND(A103&gt;=$J$6,'Gamma Data'!B103&gt;0,'Gamma Data'!B103&gt;='Gamma Data'!C103*1.5),'Gamma Data'!B103,0)</f>
        <v/>
      </c>
      <c r="AB103">
        <f>IF(NOT(ISNUMBER('Gamma Data'!A103)),"",IF((ABS('Gamma Data'!B103)+ABS('Gamma Data'!C103))=0,"",IF(OR(ABS('Gamma Data'!A103-$J$6)&gt;$J$6*$J$26,ABS('Gamma Data'!A103-$J$6)&lt;$J$28),"",(ABS('Gamma Data'!B103)+ABS('Gamma Data'!C103))/MAX(ABS('Gamma Data'!A103-$J$6)/($J$6*0.005),1)+ROW()/1000000000)))</f>
        <v/>
      </c>
    </row>
    <row r="104" ht="15" customHeight="1" s="35">
      <c r="A104" s="3">
        <f>IF('Gamma Data'!A104="","",'Gamma Data'!A104)</f>
        <v/>
      </c>
      <c r="B104" s="3">
        <f>IF(A104="","",'Gamma Data'!B104-'Gamma Data'!C104)</f>
        <v/>
      </c>
      <c r="C104" s="3">
        <f>IF(A104="","",ABS('Gamma Data'!B104)+ABS('Gamma Data'!C104))</f>
        <v/>
      </c>
      <c r="D104" s="4">
        <f>IF(A104="","",IF(C104=0,"-",IF(AND('Gamma Data'!B104&gt;0,'Gamma Data'!B104&gt;='Gamma Data'!C104*1.5),"Call Wall",IF(AND('Gamma Data'!C104&gt;0,'Gamma Data'!C104&gt;='Gamma Data'!B104*1.5),"Put Wall","(mixed)"))))</f>
        <v/>
      </c>
      <c r="E104" s="5">
        <f>IF(OR(A104="",$J$12=0),"",C104/$J$12)</f>
        <v/>
      </c>
      <c r="F104" s="4">
        <f>IF(A104="","",IF(C104&gt;=2*$J$12,"จุดหนืด",IF(C104&lt;=0.5*$J$12,"air pocket","")))</f>
        <v/>
      </c>
      <c r="H104" s="6">
        <f>IF(AND(A104&gt;=$J$6,'Gamma Data'!B104&gt;0,'Gamma Data'!B104&gt;='Gamma Data'!C104*1.5),'Gamma Data'!B104,0)</f>
        <v/>
      </c>
      <c r="AB104">
        <f>IF(NOT(ISNUMBER('Gamma Data'!A104)),"",IF((ABS('Gamma Data'!B104)+ABS('Gamma Data'!C104))=0,"",IF(OR(ABS('Gamma Data'!A104-$J$6)&gt;$J$6*$J$26,ABS('Gamma Data'!A104-$J$6)&lt;$J$28),"",(ABS('Gamma Data'!B104)+ABS('Gamma Data'!C104))/MAX(ABS('Gamma Data'!A104-$J$6)/($J$6*0.005),1)+ROW()/1000000000)))</f>
        <v/>
      </c>
    </row>
    <row r="105" ht="15" customHeight="1" s="35">
      <c r="A105" s="3">
        <f>IF('Gamma Data'!A105="","",'Gamma Data'!A105)</f>
        <v/>
      </c>
      <c r="B105" s="3">
        <f>IF(A105="","",'Gamma Data'!B105-'Gamma Data'!C105)</f>
        <v/>
      </c>
      <c r="C105" s="3">
        <f>IF(A105="","",ABS('Gamma Data'!B105)+ABS('Gamma Data'!C105))</f>
        <v/>
      </c>
      <c r="D105" s="4">
        <f>IF(A105="","",IF(C105=0,"-",IF(AND('Gamma Data'!B105&gt;0,'Gamma Data'!B105&gt;='Gamma Data'!C105*1.5),"Call Wall",IF(AND('Gamma Data'!C105&gt;0,'Gamma Data'!C105&gt;='Gamma Data'!B105*1.5),"Put Wall","(mixed)"))))</f>
        <v/>
      </c>
      <c r="E105" s="5">
        <f>IF(OR(A105="",$J$12=0),"",C105/$J$12)</f>
        <v/>
      </c>
      <c r="F105" s="4">
        <f>IF(A105="","",IF(C105&gt;=2*$J$12,"จุดหนืด",IF(C105&lt;=0.5*$J$12,"air pocket","")))</f>
        <v/>
      </c>
      <c r="H105" s="6">
        <f>IF(AND(A105&gt;=$J$6,'Gamma Data'!B105&gt;0,'Gamma Data'!B105&gt;='Gamma Data'!C105*1.5),'Gamma Data'!B105,0)</f>
        <v/>
      </c>
      <c r="AB105">
        <f>IF(NOT(ISNUMBER('Gamma Data'!A105)),"",IF((ABS('Gamma Data'!B105)+ABS('Gamma Data'!C105))=0,"",IF(OR(ABS('Gamma Data'!A105-$J$6)&gt;$J$6*$J$26,ABS('Gamma Data'!A105-$J$6)&lt;$J$28),"",(ABS('Gamma Data'!B105)+ABS('Gamma Data'!C105))/MAX(ABS('Gamma Data'!A105-$J$6)/($J$6*0.005),1)+ROW()/1000000000)))</f>
        <v/>
      </c>
    </row>
    <row r="106" ht="15" customHeight="1" s="35">
      <c r="A106" s="3">
        <f>IF('Gamma Data'!A106="","",'Gamma Data'!A106)</f>
        <v/>
      </c>
      <c r="B106" s="3">
        <f>IF(A106="","",'Gamma Data'!B106-'Gamma Data'!C106)</f>
        <v/>
      </c>
      <c r="C106" s="3">
        <f>IF(A106="","",ABS('Gamma Data'!B106)+ABS('Gamma Data'!C106))</f>
        <v/>
      </c>
      <c r="D106" s="4">
        <f>IF(A106="","",IF(C106=0,"-",IF(AND('Gamma Data'!B106&gt;0,'Gamma Data'!B106&gt;='Gamma Data'!C106*1.5),"Call Wall",IF(AND('Gamma Data'!C106&gt;0,'Gamma Data'!C106&gt;='Gamma Data'!B106*1.5),"Put Wall","(mixed)"))))</f>
        <v/>
      </c>
      <c r="E106" s="5">
        <f>IF(OR(A106="",$J$12=0),"",C106/$J$12)</f>
        <v/>
      </c>
      <c r="F106" s="4">
        <f>IF(A106="","",IF(C106&gt;=2*$J$12,"จุดหนืด",IF(C106&lt;=0.5*$J$12,"air pocket","")))</f>
        <v/>
      </c>
      <c r="H106" s="6">
        <f>IF(AND(A106&gt;=$J$6,'Gamma Data'!B106&gt;0,'Gamma Data'!B106&gt;='Gamma Data'!C106*1.5),'Gamma Data'!B106,0)</f>
        <v/>
      </c>
      <c r="AB106">
        <f>IF(NOT(ISNUMBER('Gamma Data'!A106)),"",IF((ABS('Gamma Data'!B106)+ABS('Gamma Data'!C106))=0,"",IF(OR(ABS('Gamma Data'!A106-$J$6)&gt;$J$6*$J$26,ABS('Gamma Data'!A106-$J$6)&lt;$J$28),"",(ABS('Gamma Data'!B106)+ABS('Gamma Data'!C106))/MAX(ABS('Gamma Data'!A106-$J$6)/($J$6*0.005),1)+ROW()/1000000000)))</f>
        <v/>
      </c>
    </row>
    <row r="107" ht="15" customHeight="1" s="35">
      <c r="A107" s="3">
        <f>IF('Gamma Data'!A107="","",'Gamma Data'!A107)</f>
        <v/>
      </c>
      <c r="B107" s="3">
        <f>IF(A107="","",'Gamma Data'!B107-'Gamma Data'!C107)</f>
        <v/>
      </c>
      <c r="C107" s="3">
        <f>IF(A107="","",ABS('Gamma Data'!B107)+ABS('Gamma Data'!C107))</f>
        <v/>
      </c>
      <c r="D107" s="4">
        <f>IF(A107="","",IF(C107=0,"-",IF(AND('Gamma Data'!B107&gt;0,'Gamma Data'!B107&gt;='Gamma Data'!C107*1.5),"Call Wall",IF(AND('Gamma Data'!C107&gt;0,'Gamma Data'!C107&gt;='Gamma Data'!B107*1.5),"Put Wall","(mixed)"))))</f>
        <v/>
      </c>
      <c r="E107" s="5">
        <f>IF(OR(A107="",$J$12=0),"",C107/$J$12)</f>
        <v/>
      </c>
      <c r="F107" s="4">
        <f>IF(A107="","",IF(C107&gt;=2*$J$12,"จุดหนืด",IF(C107&lt;=0.5*$J$12,"air pocket","")))</f>
        <v/>
      </c>
      <c r="H107" s="6">
        <f>IF(AND(A107&gt;=$J$6,'Gamma Data'!B107&gt;0,'Gamma Data'!B107&gt;='Gamma Data'!C107*1.5),'Gamma Data'!B107,0)</f>
        <v/>
      </c>
      <c r="AB107">
        <f>IF(NOT(ISNUMBER('Gamma Data'!A107)),"",IF((ABS('Gamma Data'!B107)+ABS('Gamma Data'!C107))=0,"",IF(OR(ABS('Gamma Data'!A107-$J$6)&gt;$J$6*$J$26,ABS('Gamma Data'!A107-$J$6)&lt;$J$28),"",(ABS('Gamma Data'!B107)+ABS('Gamma Data'!C107))/MAX(ABS('Gamma Data'!A107-$J$6)/($J$6*0.005),1)+ROW()/1000000000)))</f>
        <v/>
      </c>
    </row>
    <row r="108" ht="15" customHeight="1" s="35">
      <c r="A108" s="3">
        <f>IF('Gamma Data'!A108="","",'Gamma Data'!A108)</f>
        <v/>
      </c>
      <c r="B108" s="3">
        <f>IF(A108="","",'Gamma Data'!B108-'Gamma Data'!C108)</f>
        <v/>
      </c>
      <c r="C108" s="3">
        <f>IF(A108="","",ABS('Gamma Data'!B108)+ABS('Gamma Data'!C108))</f>
        <v/>
      </c>
      <c r="D108" s="4">
        <f>IF(A108="","",IF(C108=0,"-",IF(AND('Gamma Data'!B108&gt;0,'Gamma Data'!B108&gt;='Gamma Data'!C108*1.5),"Call Wall",IF(AND('Gamma Data'!C108&gt;0,'Gamma Data'!C108&gt;='Gamma Data'!B108*1.5),"Put Wall","(mixed)"))))</f>
        <v/>
      </c>
      <c r="E108" s="5">
        <f>IF(OR(A108="",$J$12=0),"",C108/$J$12)</f>
        <v/>
      </c>
      <c r="F108" s="4">
        <f>IF(A108="","",IF(C108&gt;=2*$J$12,"จุดหนืด",IF(C108&lt;=0.5*$J$12,"air pocket","")))</f>
        <v/>
      </c>
      <c r="H108" s="6">
        <f>IF(AND(A108&gt;=$J$6,'Gamma Data'!B108&gt;0,'Gamma Data'!B108&gt;='Gamma Data'!C108*1.5),'Gamma Data'!B108,0)</f>
        <v/>
      </c>
      <c r="AB108">
        <f>IF(NOT(ISNUMBER('Gamma Data'!A108)),"",IF((ABS('Gamma Data'!B108)+ABS('Gamma Data'!C108))=0,"",IF(OR(ABS('Gamma Data'!A108-$J$6)&gt;$J$6*$J$26,ABS('Gamma Data'!A108-$J$6)&lt;$J$28),"",(ABS('Gamma Data'!B108)+ABS('Gamma Data'!C108))/MAX(ABS('Gamma Data'!A108-$J$6)/($J$6*0.005),1)+ROW()/1000000000)))</f>
        <v/>
      </c>
    </row>
    <row r="109" ht="15" customHeight="1" s="35">
      <c r="A109" s="3">
        <f>IF('Gamma Data'!A109="","",'Gamma Data'!A109)</f>
        <v/>
      </c>
      <c r="B109" s="3">
        <f>IF(A109="","",'Gamma Data'!B109-'Gamma Data'!C109)</f>
        <v/>
      </c>
      <c r="C109" s="3">
        <f>IF(A109="","",ABS('Gamma Data'!B109)+ABS('Gamma Data'!C109))</f>
        <v/>
      </c>
      <c r="D109" s="4">
        <f>IF(A109="","",IF(C109=0,"-",IF(AND('Gamma Data'!B109&gt;0,'Gamma Data'!B109&gt;='Gamma Data'!C109*1.5),"Call Wall",IF(AND('Gamma Data'!C109&gt;0,'Gamma Data'!C109&gt;='Gamma Data'!B109*1.5),"Put Wall","(mixed)"))))</f>
        <v/>
      </c>
      <c r="E109" s="5">
        <f>IF(OR(A109="",$J$12=0),"",C109/$J$12)</f>
        <v/>
      </c>
      <c r="F109" s="4">
        <f>IF(A109="","",IF(C109&gt;=2*$J$12,"จุดหนืด",IF(C109&lt;=0.5*$J$12,"air pocket","")))</f>
        <v/>
      </c>
      <c r="H109" s="6">
        <f>IF(AND(A109&gt;=$J$6,'Gamma Data'!B109&gt;0,'Gamma Data'!B109&gt;='Gamma Data'!C109*1.5),'Gamma Data'!B109,0)</f>
        <v/>
      </c>
      <c r="AB109">
        <f>IF(NOT(ISNUMBER('Gamma Data'!A109)),"",IF((ABS('Gamma Data'!B109)+ABS('Gamma Data'!C109))=0,"",IF(OR(ABS('Gamma Data'!A109-$J$6)&gt;$J$6*$J$26,ABS('Gamma Data'!A109-$J$6)&lt;$J$28),"",(ABS('Gamma Data'!B109)+ABS('Gamma Data'!C109))/MAX(ABS('Gamma Data'!A109-$J$6)/($J$6*0.005),1)+ROW()/1000000000)))</f>
        <v/>
      </c>
    </row>
    <row r="110" ht="15" customHeight="1" s="35">
      <c r="A110" s="3">
        <f>IF('Gamma Data'!A110="","",'Gamma Data'!A110)</f>
        <v/>
      </c>
      <c r="B110" s="3">
        <f>IF(A110="","",'Gamma Data'!B110-'Gamma Data'!C110)</f>
        <v/>
      </c>
      <c r="C110" s="3">
        <f>IF(A110="","",ABS('Gamma Data'!B110)+ABS('Gamma Data'!C110))</f>
        <v/>
      </c>
      <c r="D110" s="4">
        <f>IF(A110="","",IF(C110=0,"-",IF(AND('Gamma Data'!B110&gt;0,'Gamma Data'!B110&gt;='Gamma Data'!C110*1.5),"Call Wall",IF(AND('Gamma Data'!C110&gt;0,'Gamma Data'!C110&gt;='Gamma Data'!B110*1.5),"Put Wall","(mixed)"))))</f>
        <v/>
      </c>
      <c r="E110" s="5">
        <f>IF(OR(A110="",$J$12=0),"",C110/$J$12)</f>
        <v/>
      </c>
      <c r="F110" s="4">
        <f>IF(A110="","",IF(C110&gt;=2*$J$12,"จุดหนืด",IF(C110&lt;=0.5*$J$12,"air pocket","")))</f>
        <v/>
      </c>
      <c r="H110" s="6">
        <f>IF(AND(A110&gt;=$J$6,'Gamma Data'!B110&gt;0,'Gamma Data'!B110&gt;='Gamma Data'!C110*1.5),'Gamma Data'!B110,0)</f>
        <v/>
      </c>
      <c r="AB110">
        <f>IF(NOT(ISNUMBER('Gamma Data'!A110)),"",IF((ABS('Gamma Data'!B110)+ABS('Gamma Data'!C110))=0,"",IF(OR(ABS('Gamma Data'!A110-$J$6)&gt;$J$6*$J$26,ABS('Gamma Data'!A110-$J$6)&lt;$J$28),"",(ABS('Gamma Data'!B110)+ABS('Gamma Data'!C110))/MAX(ABS('Gamma Data'!A110-$J$6)/($J$6*0.005),1)+ROW()/1000000000)))</f>
        <v/>
      </c>
    </row>
    <row r="111" ht="15" customHeight="1" s="35">
      <c r="A111" s="3">
        <f>IF('Gamma Data'!A111="","",'Gamma Data'!A111)</f>
        <v/>
      </c>
      <c r="B111" s="3">
        <f>IF(A111="","",'Gamma Data'!B111-'Gamma Data'!C111)</f>
        <v/>
      </c>
      <c r="C111" s="3">
        <f>IF(A111="","",ABS('Gamma Data'!B111)+ABS('Gamma Data'!C111))</f>
        <v/>
      </c>
      <c r="D111" s="4">
        <f>IF(A111="","",IF(C111=0,"-",IF(AND('Gamma Data'!B111&gt;0,'Gamma Data'!B111&gt;='Gamma Data'!C111*1.5),"Call Wall",IF(AND('Gamma Data'!C111&gt;0,'Gamma Data'!C111&gt;='Gamma Data'!B111*1.5),"Put Wall","(mixed)"))))</f>
        <v/>
      </c>
      <c r="E111" s="5">
        <f>IF(OR(A111="",$J$12=0),"",C111/$J$12)</f>
        <v/>
      </c>
      <c r="F111" s="4">
        <f>IF(A111="","",IF(C111&gt;=2*$J$12,"จุดหนืด",IF(C111&lt;=0.5*$J$12,"air pocket","")))</f>
        <v/>
      </c>
      <c r="H111" s="6">
        <f>IF(AND(A111&gt;=$J$6,'Gamma Data'!B111&gt;0,'Gamma Data'!B111&gt;='Gamma Data'!C111*1.5),'Gamma Data'!B111,0)</f>
        <v/>
      </c>
      <c r="AB111">
        <f>IF(NOT(ISNUMBER('Gamma Data'!A111)),"",IF((ABS('Gamma Data'!B111)+ABS('Gamma Data'!C111))=0,"",IF(OR(ABS('Gamma Data'!A111-$J$6)&gt;$J$6*$J$26,ABS('Gamma Data'!A111-$J$6)&lt;$J$28),"",(ABS('Gamma Data'!B111)+ABS('Gamma Data'!C111))/MAX(ABS('Gamma Data'!A111-$J$6)/($J$6*0.005),1)+ROW()/1000000000)))</f>
        <v/>
      </c>
    </row>
    <row r="112" ht="15" customHeight="1" s="35">
      <c r="A112" s="3">
        <f>IF('Gamma Data'!A112="","",'Gamma Data'!A112)</f>
        <v/>
      </c>
      <c r="B112" s="3">
        <f>IF(A112="","",'Gamma Data'!B112-'Gamma Data'!C112)</f>
        <v/>
      </c>
      <c r="C112" s="3">
        <f>IF(A112="","",ABS('Gamma Data'!B112)+ABS('Gamma Data'!C112))</f>
        <v/>
      </c>
      <c r="D112" s="4">
        <f>IF(A112="","",IF(C112=0,"-",IF(AND('Gamma Data'!B112&gt;0,'Gamma Data'!B112&gt;='Gamma Data'!C112*1.5),"Call Wall",IF(AND('Gamma Data'!C112&gt;0,'Gamma Data'!C112&gt;='Gamma Data'!B112*1.5),"Put Wall","(mixed)"))))</f>
        <v/>
      </c>
      <c r="E112" s="5">
        <f>IF(OR(A112="",$J$12=0),"",C112/$J$12)</f>
        <v/>
      </c>
      <c r="F112" s="4">
        <f>IF(A112="","",IF(C112&gt;=2*$J$12,"จุดหนืด",IF(C112&lt;=0.5*$J$12,"air pocket","")))</f>
        <v/>
      </c>
      <c r="H112" s="6">
        <f>IF(AND(A112&gt;=$J$6,'Gamma Data'!B112&gt;0,'Gamma Data'!B112&gt;='Gamma Data'!C112*1.5),'Gamma Data'!B112,0)</f>
        <v/>
      </c>
      <c r="AB112">
        <f>IF(NOT(ISNUMBER('Gamma Data'!A112)),"",IF((ABS('Gamma Data'!B112)+ABS('Gamma Data'!C112))=0,"",IF(OR(ABS('Gamma Data'!A112-$J$6)&gt;$J$6*$J$26,ABS('Gamma Data'!A112-$J$6)&lt;$J$28),"",(ABS('Gamma Data'!B112)+ABS('Gamma Data'!C112))/MAX(ABS('Gamma Data'!A112-$J$6)/($J$6*0.005),1)+ROW()/1000000000)))</f>
        <v/>
      </c>
    </row>
    <row r="113" ht="15" customHeight="1" s="35">
      <c r="A113" s="3">
        <f>IF('Gamma Data'!A113="","",'Gamma Data'!A113)</f>
        <v/>
      </c>
      <c r="B113" s="3">
        <f>IF(A113="","",'Gamma Data'!B113-'Gamma Data'!C113)</f>
        <v/>
      </c>
      <c r="C113" s="3">
        <f>IF(A113="","",ABS('Gamma Data'!B113)+ABS('Gamma Data'!C113))</f>
        <v/>
      </c>
      <c r="D113" s="4">
        <f>IF(A113="","",IF(C113=0,"-",IF(AND('Gamma Data'!B113&gt;0,'Gamma Data'!B113&gt;='Gamma Data'!C113*1.5),"Call Wall",IF(AND('Gamma Data'!C113&gt;0,'Gamma Data'!C113&gt;='Gamma Data'!B113*1.5),"Put Wall","(mixed)"))))</f>
        <v/>
      </c>
      <c r="E113" s="5">
        <f>IF(OR(A113="",$J$12=0),"",C113/$J$12)</f>
        <v/>
      </c>
      <c r="F113" s="4">
        <f>IF(A113="","",IF(C113&gt;=2*$J$12,"จุดหนืด",IF(C113&lt;=0.5*$J$12,"air pocket","")))</f>
        <v/>
      </c>
      <c r="H113" s="6">
        <f>IF(AND(A113&gt;=$J$6,'Gamma Data'!B113&gt;0,'Gamma Data'!B113&gt;='Gamma Data'!C113*1.5),'Gamma Data'!B113,0)</f>
        <v/>
      </c>
      <c r="AB113">
        <f>IF(NOT(ISNUMBER('Gamma Data'!A113)),"",IF((ABS('Gamma Data'!B113)+ABS('Gamma Data'!C113))=0,"",IF(OR(ABS('Gamma Data'!A113-$J$6)&gt;$J$6*$J$26,ABS('Gamma Data'!A113-$J$6)&lt;$J$28),"",(ABS('Gamma Data'!B113)+ABS('Gamma Data'!C113))/MAX(ABS('Gamma Data'!A113-$J$6)/($J$6*0.005),1)+ROW()/1000000000)))</f>
        <v/>
      </c>
    </row>
    <row r="114" ht="15" customHeight="1" s="35">
      <c r="A114" s="3">
        <f>IF('Gamma Data'!A114="","",'Gamma Data'!A114)</f>
        <v/>
      </c>
      <c r="B114" s="3">
        <f>IF(A114="","",'Gamma Data'!B114-'Gamma Data'!C114)</f>
        <v/>
      </c>
      <c r="C114" s="3">
        <f>IF(A114="","",ABS('Gamma Data'!B114)+ABS('Gamma Data'!C114))</f>
        <v/>
      </c>
      <c r="D114" s="4">
        <f>IF(A114="","",IF(C114=0,"-",IF(AND('Gamma Data'!B114&gt;0,'Gamma Data'!B114&gt;='Gamma Data'!C114*1.5),"Call Wall",IF(AND('Gamma Data'!C114&gt;0,'Gamma Data'!C114&gt;='Gamma Data'!B114*1.5),"Put Wall","(mixed)"))))</f>
        <v/>
      </c>
      <c r="E114" s="5">
        <f>IF(OR(A114="",$J$12=0),"",C114/$J$12)</f>
        <v/>
      </c>
      <c r="F114" s="4">
        <f>IF(A114="","",IF(C114&gt;=2*$J$12,"จุดหนืด",IF(C114&lt;=0.5*$J$12,"air pocket","")))</f>
        <v/>
      </c>
      <c r="H114" s="6">
        <f>IF(AND(A114&gt;=$J$6,'Gamma Data'!B114&gt;0,'Gamma Data'!B114&gt;='Gamma Data'!C114*1.5),'Gamma Data'!B114,0)</f>
        <v/>
      </c>
      <c r="AB114">
        <f>IF(NOT(ISNUMBER('Gamma Data'!A114)),"",IF((ABS('Gamma Data'!B114)+ABS('Gamma Data'!C114))=0,"",IF(OR(ABS('Gamma Data'!A114-$J$6)&gt;$J$6*$J$26,ABS('Gamma Data'!A114-$J$6)&lt;$J$28),"",(ABS('Gamma Data'!B114)+ABS('Gamma Data'!C114))/MAX(ABS('Gamma Data'!A114-$J$6)/($J$6*0.005),1)+ROW()/1000000000)))</f>
        <v/>
      </c>
    </row>
    <row r="115" ht="15" customHeight="1" s="35">
      <c r="A115" s="3">
        <f>IF('Gamma Data'!A115="","",'Gamma Data'!A115)</f>
        <v/>
      </c>
      <c r="B115" s="3">
        <f>IF(A115="","",'Gamma Data'!B115-'Gamma Data'!C115)</f>
        <v/>
      </c>
      <c r="C115" s="3">
        <f>IF(A115="","",ABS('Gamma Data'!B115)+ABS('Gamma Data'!C115))</f>
        <v/>
      </c>
      <c r="D115" s="4">
        <f>IF(A115="","",IF(C115=0,"-",IF(AND('Gamma Data'!B115&gt;0,'Gamma Data'!B115&gt;='Gamma Data'!C115*1.5),"Call Wall",IF(AND('Gamma Data'!C115&gt;0,'Gamma Data'!C115&gt;='Gamma Data'!B115*1.5),"Put Wall","(mixed)"))))</f>
        <v/>
      </c>
      <c r="E115" s="5">
        <f>IF(OR(A115="",$J$12=0),"",C115/$J$12)</f>
        <v/>
      </c>
      <c r="F115" s="4">
        <f>IF(A115="","",IF(C115&gt;=2*$J$12,"จุดหนืด",IF(C115&lt;=0.5*$J$12,"air pocket","")))</f>
        <v/>
      </c>
      <c r="H115" s="6">
        <f>IF(AND(A115&gt;=$J$6,'Gamma Data'!B115&gt;0,'Gamma Data'!B115&gt;='Gamma Data'!C115*1.5),'Gamma Data'!B115,0)</f>
        <v/>
      </c>
      <c r="AB115">
        <f>IF(NOT(ISNUMBER('Gamma Data'!A115)),"",IF((ABS('Gamma Data'!B115)+ABS('Gamma Data'!C115))=0,"",IF(OR(ABS('Gamma Data'!A115-$J$6)&gt;$J$6*$J$26,ABS('Gamma Data'!A115-$J$6)&lt;$J$28),"",(ABS('Gamma Data'!B115)+ABS('Gamma Data'!C115))/MAX(ABS('Gamma Data'!A115-$J$6)/($J$6*0.005),1)+ROW()/1000000000)))</f>
        <v/>
      </c>
    </row>
    <row r="116" ht="15" customHeight="1" s="35">
      <c r="A116" s="3">
        <f>IF('Gamma Data'!A116="","",'Gamma Data'!A116)</f>
        <v/>
      </c>
      <c r="B116" s="3">
        <f>IF(A116="","",'Gamma Data'!B116-'Gamma Data'!C116)</f>
        <v/>
      </c>
      <c r="C116" s="3">
        <f>IF(A116="","",ABS('Gamma Data'!B116)+ABS('Gamma Data'!C116))</f>
        <v/>
      </c>
      <c r="D116" s="4">
        <f>IF(A116="","",IF(C116=0,"-",IF(AND('Gamma Data'!B116&gt;0,'Gamma Data'!B116&gt;='Gamma Data'!C116*1.5),"Call Wall",IF(AND('Gamma Data'!C116&gt;0,'Gamma Data'!C116&gt;='Gamma Data'!B116*1.5),"Put Wall","(mixed)"))))</f>
        <v/>
      </c>
      <c r="E116" s="5">
        <f>IF(OR(A116="",$J$12=0),"",C116/$J$12)</f>
        <v/>
      </c>
      <c r="F116" s="4">
        <f>IF(A116="","",IF(C116&gt;=2*$J$12,"จุดหนืด",IF(C116&lt;=0.5*$J$12,"air pocket","")))</f>
        <v/>
      </c>
      <c r="H116" s="6">
        <f>IF(AND(A116&gt;=$J$6,'Gamma Data'!B116&gt;0,'Gamma Data'!B116&gt;='Gamma Data'!C116*1.5),'Gamma Data'!B116,0)</f>
        <v/>
      </c>
      <c r="AB116">
        <f>IF(NOT(ISNUMBER('Gamma Data'!A116)),"",IF((ABS('Gamma Data'!B116)+ABS('Gamma Data'!C116))=0,"",IF(OR(ABS('Gamma Data'!A116-$J$6)&gt;$J$6*$J$26,ABS('Gamma Data'!A116-$J$6)&lt;$J$28),"",(ABS('Gamma Data'!B116)+ABS('Gamma Data'!C116))/MAX(ABS('Gamma Data'!A116-$J$6)/($J$6*0.005),1)+ROW()/1000000000)))</f>
        <v/>
      </c>
    </row>
    <row r="117" ht="15" customHeight="1" s="35">
      <c r="A117" s="3">
        <f>IF('Gamma Data'!A117="","",'Gamma Data'!A117)</f>
        <v/>
      </c>
      <c r="B117" s="3">
        <f>IF(A117="","",'Gamma Data'!B117-'Gamma Data'!C117)</f>
        <v/>
      </c>
      <c r="C117" s="3">
        <f>IF(A117="","",ABS('Gamma Data'!B117)+ABS('Gamma Data'!C117))</f>
        <v/>
      </c>
      <c r="D117" s="4">
        <f>IF(A117="","",IF(C117=0,"-",IF(AND('Gamma Data'!B117&gt;0,'Gamma Data'!B117&gt;='Gamma Data'!C117*1.5),"Call Wall",IF(AND('Gamma Data'!C117&gt;0,'Gamma Data'!C117&gt;='Gamma Data'!B117*1.5),"Put Wall","(mixed)"))))</f>
        <v/>
      </c>
      <c r="E117" s="5">
        <f>IF(OR(A117="",$J$12=0),"",C117/$J$12)</f>
        <v/>
      </c>
      <c r="F117" s="4">
        <f>IF(A117="","",IF(C117&gt;=2*$J$12,"จุดหนืด",IF(C117&lt;=0.5*$J$12,"air pocket","")))</f>
        <v/>
      </c>
      <c r="H117" s="6">
        <f>IF(AND(A117&gt;=$J$6,'Gamma Data'!B117&gt;0,'Gamma Data'!B117&gt;='Gamma Data'!C117*1.5),'Gamma Data'!B117,0)</f>
        <v/>
      </c>
      <c r="AB117">
        <f>IF(NOT(ISNUMBER('Gamma Data'!A117)),"",IF((ABS('Gamma Data'!B117)+ABS('Gamma Data'!C117))=0,"",IF(OR(ABS('Gamma Data'!A117-$J$6)&gt;$J$6*$J$26,ABS('Gamma Data'!A117-$J$6)&lt;$J$28),"",(ABS('Gamma Data'!B117)+ABS('Gamma Data'!C117))/MAX(ABS('Gamma Data'!A117-$J$6)/($J$6*0.005),1)+ROW()/1000000000)))</f>
        <v/>
      </c>
    </row>
    <row r="118" ht="15" customHeight="1" s="35">
      <c r="A118" s="3">
        <f>IF('Gamma Data'!A118="","",'Gamma Data'!A118)</f>
        <v/>
      </c>
      <c r="B118" s="3">
        <f>IF(A118="","",'Gamma Data'!B118-'Gamma Data'!C118)</f>
        <v/>
      </c>
      <c r="C118" s="3">
        <f>IF(A118="","",ABS('Gamma Data'!B118)+ABS('Gamma Data'!C118))</f>
        <v/>
      </c>
      <c r="D118" s="4">
        <f>IF(A118="","",IF(C118=0,"-",IF(AND('Gamma Data'!B118&gt;0,'Gamma Data'!B118&gt;='Gamma Data'!C118*1.5),"Call Wall",IF(AND('Gamma Data'!C118&gt;0,'Gamma Data'!C118&gt;='Gamma Data'!B118*1.5),"Put Wall","(mixed)"))))</f>
        <v/>
      </c>
      <c r="E118" s="5">
        <f>IF(OR(A118="",$J$12=0),"",C118/$J$12)</f>
        <v/>
      </c>
      <c r="F118" s="4">
        <f>IF(A118="","",IF(C118&gt;=2*$J$12,"จุดหนืด",IF(C118&lt;=0.5*$J$12,"air pocket","")))</f>
        <v/>
      </c>
      <c r="H118" s="6">
        <f>IF(AND(A118&gt;=$J$6,'Gamma Data'!B118&gt;0,'Gamma Data'!B118&gt;='Gamma Data'!C118*1.5),'Gamma Data'!B118,0)</f>
        <v/>
      </c>
      <c r="AB118">
        <f>IF(NOT(ISNUMBER('Gamma Data'!A118)),"",IF((ABS('Gamma Data'!B118)+ABS('Gamma Data'!C118))=0,"",IF(OR(ABS('Gamma Data'!A118-$J$6)&gt;$J$6*$J$26,ABS('Gamma Data'!A118-$J$6)&lt;$J$28),"",(ABS('Gamma Data'!B118)+ABS('Gamma Data'!C118))/MAX(ABS('Gamma Data'!A118-$J$6)/($J$6*0.005),1)+ROW()/1000000000)))</f>
        <v/>
      </c>
    </row>
    <row r="119" ht="15" customHeight="1" s="35">
      <c r="A119" s="3">
        <f>IF('Gamma Data'!A119="","",'Gamma Data'!A119)</f>
        <v/>
      </c>
      <c r="B119" s="3">
        <f>IF(A119="","",'Gamma Data'!B119-'Gamma Data'!C119)</f>
        <v/>
      </c>
      <c r="C119" s="3">
        <f>IF(A119="","",ABS('Gamma Data'!B119)+ABS('Gamma Data'!C119))</f>
        <v/>
      </c>
      <c r="D119" s="4">
        <f>IF(A119="","",IF(C119=0,"-",IF(AND('Gamma Data'!B119&gt;0,'Gamma Data'!B119&gt;='Gamma Data'!C119*1.5),"Call Wall",IF(AND('Gamma Data'!C119&gt;0,'Gamma Data'!C119&gt;='Gamma Data'!B119*1.5),"Put Wall","(mixed)"))))</f>
        <v/>
      </c>
      <c r="E119" s="5">
        <f>IF(OR(A119="",$J$12=0),"",C119/$J$12)</f>
        <v/>
      </c>
      <c r="F119" s="4">
        <f>IF(A119="","",IF(C119&gt;=2*$J$12,"จุดหนืด",IF(C119&lt;=0.5*$J$12,"air pocket","")))</f>
        <v/>
      </c>
      <c r="H119" s="6">
        <f>IF(AND(A119&gt;=$J$6,'Gamma Data'!B119&gt;0,'Gamma Data'!B119&gt;='Gamma Data'!C119*1.5),'Gamma Data'!B119,0)</f>
        <v/>
      </c>
      <c r="AB119">
        <f>IF(NOT(ISNUMBER('Gamma Data'!A119)),"",IF((ABS('Gamma Data'!B119)+ABS('Gamma Data'!C119))=0,"",IF(OR(ABS('Gamma Data'!A119-$J$6)&gt;$J$6*$J$26,ABS('Gamma Data'!A119-$J$6)&lt;$J$28),"",(ABS('Gamma Data'!B119)+ABS('Gamma Data'!C119))/MAX(ABS('Gamma Data'!A119-$J$6)/($J$6*0.005),1)+ROW()/1000000000)))</f>
        <v/>
      </c>
    </row>
    <row r="120" ht="15" customHeight="1" s="35">
      <c r="A120" s="3">
        <f>IF('Gamma Data'!A120="","",'Gamma Data'!A120)</f>
        <v/>
      </c>
      <c r="B120" s="3">
        <f>IF(A120="","",'Gamma Data'!B120-'Gamma Data'!C120)</f>
        <v/>
      </c>
      <c r="C120" s="3">
        <f>IF(A120="","",ABS('Gamma Data'!B120)+ABS('Gamma Data'!C120))</f>
        <v/>
      </c>
      <c r="D120" s="4">
        <f>IF(A120="","",IF(C120=0,"-",IF(AND('Gamma Data'!B120&gt;0,'Gamma Data'!B120&gt;='Gamma Data'!C120*1.5),"Call Wall",IF(AND('Gamma Data'!C120&gt;0,'Gamma Data'!C120&gt;='Gamma Data'!B120*1.5),"Put Wall","(mixed)"))))</f>
        <v/>
      </c>
      <c r="E120" s="5">
        <f>IF(OR(A120="",$J$12=0),"",C120/$J$12)</f>
        <v/>
      </c>
      <c r="F120" s="4">
        <f>IF(A120="","",IF(C120&gt;=2*$J$12,"จุดหนืด",IF(C120&lt;=0.5*$J$12,"air pocket","")))</f>
        <v/>
      </c>
      <c r="H120" s="6">
        <f>IF(AND(A120&gt;=$J$6,'Gamma Data'!B120&gt;0,'Gamma Data'!B120&gt;='Gamma Data'!C120*1.5),'Gamma Data'!B120,0)</f>
        <v/>
      </c>
      <c r="AB120">
        <f>IF(NOT(ISNUMBER('Gamma Data'!A120)),"",IF((ABS('Gamma Data'!B120)+ABS('Gamma Data'!C120))=0,"",IF(OR(ABS('Gamma Data'!A120-$J$6)&gt;$J$6*$J$26,ABS('Gamma Data'!A120-$J$6)&lt;$J$28),"",(ABS('Gamma Data'!B120)+ABS('Gamma Data'!C120))/MAX(ABS('Gamma Data'!A120-$J$6)/($J$6*0.005),1)+ROW()/1000000000)))</f>
        <v/>
      </c>
    </row>
    <row r="121" ht="15" customHeight="1" s="35">
      <c r="A121" s="3">
        <f>IF('Gamma Data'!A121="","",'Gamma Data'!A121)</f>
        <v/>
      </c>
      <c r="B121" s="3">
        <f>IF(A121="","",'Gamma Data'!B121-'Gamma Data'!C121)</f>
        <v/>
      </c>
      <c r="C121" s="3">
        <f>IF(A121="","",ABS('Gamma Data'!B121)+ABS('Gamma Data'!C121))</f>
        <v/>
      </c>
      <c r="D121" s="4">
        <f>IF(A121="","",IF(C121=0,"-",IF(AND('Gamma Data'!B121&gt;0,'Gamma Data'!B121&gt;='Gamma Data'!C121*1.5),"Call Wall",IF(AND('Gamma Data'!C121&gt;0,'Gamma Data'!C121&gt;='Gamma Data'!B121*1.5),"Put Wall","(mixed)"))))</f>
        <v/>
      </c>
      <c r="E121" s="5">
        <f>IF(OR(A121="",$J$12=0),"",C121/$J$12)</f>
        <v/>
      </c>
      <c r="F121" s="4">
        <f>IF(A121="","",IF(C121&gt;=2*$J$12,"จุดหนืด",IF(C121&lt;=0.5*$J$12,"air pocket","")))</f>
        <v/>
      </c>
      <c r="H121" s="6">
        <f>IF(AND(A121&gt;=$J$6,'Gamma Data'!B121&gt;0,'Gamma Data'!B121&gt;='Gamma Data'!C121*1.5),'Gamma Data'!B121,0)</f>
        <v/>
      </c>
      <c r="AB121">
        <f>IF(NOT(ISNUMBER('Gamma Data'!A121)),"",IF((ABS('Gamma Data'!B121)+ABS('Gamma Data'!C121))=0,"",IF(OR(ABS('Gamma Data'!A121-$J$6)&gt;$J$6*$J$26,ABS('Gamma Data'!A121-$J$6)&lt;$J$28),"",(ABS('Gamma Data'!B121)+ABS('Gamma Data'!C121))/MAX(ABS('Gamma Data'!A121-$J$6)/($J$6*0.005),1)+ROW()/1000000000)))</f>
        <v/>
      </c>
    </row>
    <row r="122" ht="15" customHeight="1" s="35">
      <c r="A122" s="3">
        <f>IF('Gamma Data'!A122="","",'Gamma Data'!A122)</f>
        <v/>
      </c>
      <c r="B122" s="3">
        <f>IF(A122="","",'Gamma Data'!B122-'Gamma Data'!C122)</f>
        <v/>
      </c>
      <c r="C122" s="3">
        <f>IF(A122="","",ABS('Gamma Data'!B122)+ABS('Gamma Data'!C122))</f>
        <v/>
      </c>
      <c r="D122" s="4">
        <f>IF(A122="","",IF(C122=0,"-",IF(AND('Gamma Data'!B122&gt;0,'Gamma Data'!B122&gt;='Gamma Data'!C122*1.5),"Call Wall",IF(AND('Gamma Data'!C122&gt;0,'Gamma Data'!C122&gt;='Gamma Data'!B122*1.5),"Put Wall","(mixed)"))))</f>
        <v/>
      </c>
      <c r="E122" s="5">
        <f>IF(OR(A122="",$J$12=0),"",C122/$J$12)</f>
        <v/>
      </c>
      <c r="F122" s="4">
        <f>IF(A122="","",IF(C122&gt;=2*$J$12,"จุดหนืด",IF(C122&lt;=0.5*$J$12,"air pocket","")))</f>
        <v/>
      </c>
      <c r="H122" s="6">
        <f>IF(AND(A122&gt;=$J$6,'Gamma Data'!B122&gt;0,'Gamma Data'!B122&gt;='Gamma Data'!C122*1.5),'Gamma Data'!B122,0)</f>
        <v/>
      </c>
      <c r="AB122">
        <f>IF(NOT(ISNUMBER('Gamma Data'!A122)),"",IF((ABS('Gamma Data'!B122)+ABS('Gamma Data'!C122))=0,"",IF(OR(ABS('Gamma Data'!A122-$J$6)&gt;$J$6*$J$26,ABS('Gamma Data'!A122-$J$6)&lt;$J$28),"",(ABS('Gamma Data'!B122)+ABS('Gamma Data'!C122))/MAX(ABS('Gamma Data'!A122-$J$6)/($J$6*0.005),1)+ROW()/1000000000)))</f>
        <v/>
      </c>
    </row>
    <row r="123" ht="15" customHeight="1" s="35">
      <c r="A123" s="3">
        <f>IF('Gamma Data'!A123="","",'Gamma Data'!A123)</f>
        <v/>
      </c>
      <c r="B123" s="3">
        <f>IF(A123="","",'Gamma Data'!B123-'Gamma Data'!C123)</f>
        <v/>
      </c>
      <c r="C123" s="3">
        <f>IF(A123="","",ABS('Gamma Data'!B123)+ABS('Gamma Data'!C123))</f>
        <v/>
      </c>
      <c r="D123" s="4">
        <f>IF(A123="","",IF(C123=0,"-",IF(AND('Gamma Data'!B123&gt;0,'Gamma Data'!B123&gt;='Gamma Data'!C123*1.5),"Call Wall",IF(AND('Gamma Data'!C123&gt;0,'Gamma Data'!C123&gt;='Gamma Data'!B123*1.5),"Put Wall","(mixed)"))))</f>
        <v/>
      </c>
      <c r="E123" s="5">
        <f>IF(OR(A123="",$J$12=0),"",C123/$J$12)</f>
        <v/>
      </c>
      <c r="F123" s="4">
        <f>IF(A123="","",IF(C123&gt;=2*$J$12,"จุดหนืด",IF(C123&lt;=0.5*$J$12,"air pocket","")))</f>
        <v/>
      </c>
      <c r="H123" s="6">
        <f>IF(AND(A123&gt;=$J$6,'Gamma Data'!B123&gt;0,'Gamma Data'!B123&gt;='Gamma Data'!C123*1.5),'Gamma Data'!B123,0)</f>
        <v/>
      </c>
      <c r="AB123">
        <f>IF(NOT(ISNUMBER('Gamma Data'!A123)),"",IF((ABS('Gamma Data'!B123)+ABS('Gamma Data'!C123))=0,"",IF(OR(ABS('Gamma Data'!A123-$J$6)&gt;$J$6*$J$26,ABS('Gamma Data'!A123-$J$6)&lt;$J$28),"",(ABS('Gamma Data'!B123)+ABS('Gamma Data'!C123))/MAX(ABS('Gamma Data'!A123-$J$6)/($J$6*0.005),1)+ROW()/1000000000)))</f>
        <v/>
      </c>
    </row>
    <row r="124" ht="15" customHeight="1" s="35">
      <c r="A124" s="3">
        <f>IF('Gamma Data'!A124="","",'Gamma Data'!A124)</f>
        <v/>
      </c>
      <c r="B124" s="3">
        <f>IF(A124="","",'Gamma Data'!B124-'Gamma Data'!C124)</f>
        <v/>
      </c>
      <c r="C124" s="3">
        <f>IF(A124="","",ABS('Gamma Data'!B124)+ABS('Gamma Data'!C124))</f>
        <v/>
      </c>
      <c r="D124" s="4">
        <f>IF(A124="","",IF(C124=0,"-",IF(AND('Gamma Data'!B124&gt;0,'Gamma Data'!B124&gt;='Gamma Data'!C124*1.5),"Call Wall",IF(AND('Gamma Data'!C124&gt;0,'Gamma Data'!C124&gt;='Gamma Data'!B124*1.5),"Put Wall","(mixed)"))))</f>
        <v/>
      </c>
      <c r="E124" s="5">
        <f>IF(OR(A124="",$J$12=0),"",C124/$J$12)</f>
        <v/>
      </c>
      <c r="F124" s="4">
        <f>IF(A124="","",IF(C124&gt;=2*$J$12,"จุดหนืด",IF(C124&lt;=0.5*$J$12,"air pocket","")))</f>
        <v/>
      </c>
      <c r="H124" s="6">
        <f>IF(AND(A124&gt;=$J$6,'Gamma Data'!B124&gt;0,'Gamma Data'!B124&gt;='Gamma Data'!C124*1.5),'Gamma Data'!B124,0)</f>
        <v/>
      </c>
      <c r="AB124">
        <f>IF(NOT(ISNUMBER('Gamma Data'!A124)),"",IF((ABS('Gamma Data'!B124)+ABS('Gamma Data'!C124))=0,"",IF(OR(ABS('Gamma Data'!A124-$J$6)&gt;$J$6*$J$26,ABS('Gamma Data'!A124-$J$6)&lt;$J$28),"",(ABS('Gamma Data'!B124)+ABS('Gamma Data'!C124))/MAX(ABS('Gamma Data'!A124-$J$6)/($J$6*0.005),1)+ROW()/1000000000)))</f>
        <v/>
      </c>
    </row>
    <row r="125" ht="15" customHeight="1" s="35">
      <c r="A125" s="3">
        <f>IF('Gamma Data'!A125="","",'Gamma Data'!A125)</f>
        <v/>
      </c>
      <c r="B125" s="3">
        <f>IF(A125="","",'Gamma Data'!B125-'Gamma Data'!C125)</f>
        <v/>
      </c>
      <c r="C125" s="3">
        <f>IF(A125="","",ABS('Gamma Data'!B125)+ABS('Gamma Data'!C125))</f>
        <v/>
      </c>
      <c r="D125" s="4">
        <f>IF(A125="","",IF(C125=0,"-",IF(AND('Gamma Data'!B125&gt;0,'Gamma Data'!B125&gt;='Gamma Data'!C125*1.5),"Call Wall",IF(AND('Gamma Data'!C125&gt;0,'Gamma Data'!C125&gt;='Gamma Data'!B125*1.5),"Put Wall","(mixed)"))))</f>
        <v/>
      </c>
      <c r="E125" s="5">
        <f>IF(OR(A125="",$J$12=0),"",C125/$J$12)</f>
        <v/>
      </c>
      <c r="F125" s="4">
        <f>IF(A125="","",IF(C125&gt;=2*$J$12,"จุดหนืด",IF(C125&lt;=0.5*$J$12,"air pocket","")))</f>
        <v/>
      </c>
      <c r="H125" s="6">
        <f>IF(AND(A125&gt;=$J$6,'Gamma Data'!B125&gt;0,'Gamma Data'!B125&gt;='Gamma Data'!C125*1.5),'Gamma Data'!B125,0)</f>
        <v/>
      </c>
      <c r="AB125">
        <f>IF(NOT(ISNUMBER('Gamma Data'!A125)),"",IF((ABS('Gamma Data'!B125)+ABS('Gamma Data'!C125))=0,"",IF(OR(ABS('Gamma Data'!A125-$J$6)&gt;$J$6*$J$26,ABS('Gamma Data'!A125-$J$6)&lt;$J$28),"",(ABS('Gamma Data'!B125)+ABS('Gamma Data'!C125))/MAX(ABS('Gamma Data'!A125-$J$6)/($J$6*0.005),1)+ROW()/1000000000)))</f>
        <v/>
      </c>
    </row>
    <row r="126" ht="15" customHeight="1" s="35">
      <c r="A126" s="3">
        <f>IF('Gamma Data'!A126="","",'Gamma Data'!A126)</f>
        <v/>
      </c>
      <c r="B126" s="3">
        <f>IF(A126="","",'Gamma Data'!B126-'Gamma Data'!C126)</f>
        <v/>
      </c>
      <c r="C126" s="3">
        <f>IF(A126="","",ABS('Gamma Data'!B126)+ABS('Gamma Data'!C126))</f>
        <v/>
      </c>
      <c r="D126" s="4">
        <f>IF(A126="","",IF(C126=0,"-",IF(AND('Gamma Data'!B126&gt;0,'Gamma Data'!B126&gt;='Gamma Data'!C126*1.5),"Call Wall",IF(AND('Gamma Data'!C126&gt;0,'Gamma Data'!C126&gt;='Gamma Data'!B126*1.5),"Put Wall","(mixed)"))))</f>
        <v/>
      </c>
      <c r="E126" s="5">
        <f>IF(OR(A126="",$J$12=0),"",C126/$J$12)</f>
        <v/>
      </c>
      <c r="F126" s="4">
        <f>IF(A126="","",IF(C126&gt;=2*$J$12,"จุดหนืด",IF(C126&lt;=0.5*$J$12,"air pocket","")))</f>
        <v/>
      </c>
      <c r="H126" s="6">
        <f>IF(AND(A126&gt;=$J$6,'Gamma Data'!B126&gt;0,'Gamma Data'!B126&gt;='Gamma Data'!C126*1.5),'Gamma Data'!B126,0)</f>
        <v/>
      </c>
      <c r="AB126">
        <f>IF(NOT(ISNUMBER('Gamma Data'!A126)),"",IF((ABS('Gamma Data'!B126)+ABS('Gamma Data'!C126))=0,"",IF(OR(ABS('Gamma Data'!A126-$J$6)&gt;$J$6*$J$26,ABS('Gamma Data'!A126-$J$6)&lt;$J$28),"",(ABS('Gamma Data'!B126)+ABS('Gamma Data'!C126))/MAX(ABS('Gamma Data'!A126-$J$6)/($J$6*0.005),1)+ROW()/1000000000)))</f>
        <v/>
      </c>
    </row>
    <row r="127" ht="15" customHeight="1" s="35">
      <c r="A127" s="3">
        <f>IF('Gamma Data'!A127="","",'Gamma Data'!A127)</f>
        <v/>
      </c>
      <c r="B127" s="3">
        <f>IF(A127="","",'Gamma Data'!B127-'Gamma Data'!C127)</f>
        <v/>
      </c>
      <c r="C127" s="3">
        <f>IF(A127="","",ABS('Gamma Data'!B127)+ABS('Gamma Data'!C127))</f>
        <v/>
      </c>
      <c r="D127" s="4">
        <f>IF(A127="","",IF(C127=0,"-",IF(AND('Gamma Data'!B127&gt;0,'Gamma Data'!B127&gt;='Gamma Data'!C127*1.5),"Call Wall",IF(AND('Gamma Data'!C127&gt;0,'Gamma Data'!C127&gt;='Gamma Data'!B127*1.5),"Put Wall","(mixed)"))))</f>
        <v/>
      </c>
      <c r="E127" s="5">
        <f>IF(OR(A127="",$J$12=0),"",C127/$J$12)</f>
        <v/>
      </c>
      <c r="F127" s="4">
        <f>IF(A127="","",IF(C127&gt;=2*$J$12,"จุดหนืด",IF(C127&lt;=0.5*$J$12,"air pocket","")))</f>
        <v/>
      </c>
      <c r="H127" s="6">
        <f>IF(AND(A127&gt;=$J$6,'Gamma Data'!B127&gt;0,'Gamma Data'!B127&gt;='Gamma Data'!C127*1.5),'Gamma Data'!B127,0)</f>
        <v/>
      </c>
      <c r="AB127">
        <f>IF(NOT(ISNUMBER('Gamma Data'!A127)),"",IF((ABS('Gamma Data'!B127)+ABS('Gamma Data'!C127))=0,"",IF(OR(ABS('Gamma Data'!A127-$J$6)&gt;$J$6*$J$26,ABS('Gamma Data'!A127-$J$6)&lt;$J$28),"",(ABS('Gamma Data'!B127)+ABS('Gamma Data'!C127))/MAX(ABS('Gamma Data'!A127-$J$6)/($J$6*0.005),1)+ROW()/1000000000)))</f>
        <v/>
      </c>
    </row>
    <row r="128" ht="15" customHeight="1" s="35">
      <c r="A128" s="3">
        <f>IF('Gamma Data'!A128="","",'Gamma Data'!A128)</f>
        <v/>
      </c>
      <c r="B128" s="3">
        <f>IF(A128="","",'Gamma Data'!B128-'Gamma Data'!C128)</f>
        <v/>
      </c>
      <c r="C128" s="3">
        <f>IF(A128="","",ABS('Gamma Data'!B128)+ABS('Gamma Data'!C128))</f>
        <v/>
      </c>
      <c r="D128" s="4">
        <f>IF(A128="","",IF(C128=0,"-",IF(AND('Gamma Data'!B128&gt;0,'Gamma Data'!B128&gt;='Gamma Data'!C128*1.5),"Call Wall",IF(AND('Gamma Data'!C128&gt;0,'Gamma Data'!C128&gt;='Gamma Data'!B128*1.5),"Put Wall","(mixed)"))))</f>
        <v/>
      </c>
      <c r="E128" s="5">
        <f>IF(OR(A128="",$J$12=0),"",C128/$J$12)</f>
        <v/>
      </c>
      <c r="F128" s="4">
        <f>IF(A128="","",IF(C128&gt;=2*$J$12,"จุดหนืด",IF(C128&lt;=0.5*$J$12,"air pocket","")))</f>
        <v/>
      </c>
      <c r="H128" s="6">
        <f>IF(AND(A128&gt;=$J$6,'Gamma Data'!B128&gt;0,'Gamma Data'!B128&gt;='Gamma Data'!C128*1.5),'Gamma Data'!B128,0)</f>
        <v/>
      </c>
      <c r="AB128">
        <f>IF(NOT(ISNUMBER('Gamma Data'!A128)),"",IF((ABS('Gamma Data'!B128)+ABS('Gamma Data'!C128))=0,"",IF(OR(ABS('Gamma Data'!A128-$J$6)&gt;$J$6*$J$26,ABS('Gamma Data'!A128-$J$6)&lt;$J$28),"",(ABS('Gamma Data'!B128)+ABS('Gamma Data'!C128))/MAX(ABS('Gamma Data'!A128-$J$6)/($J$6*0.005),1)+ROW()/1000000000)))</f>
        <v/>
      </c>
    </row>
    <row r="129" ht="15" customHeight="1" s="35">
      <c r="A129" s="3">
        <f>IF('Gamma Data'!A129="","",'Gamma Data'!A129)</f>
        <v/>
      </c>
      <c r="B129" s="3">
        <f>IF(A129="","",'Gamma Data'!B129-'Gamma Data'!C129)</f>
        <v/>
      </c>
      <c r="C129" s="3">
        <f>IF(A129="","",ABS('Gamma Data'!B129)+ABS('Gamma Data'!C129))</f>
        <v/>
      </c>
      <c r="D129" s="4">
        <f>IF(A129="","",IF(C129=0,"-",IF(AND('Gamma Data'!B129&gt;0,'Gamma Data'!B129&gt;='Gamma Data'!C129*1.5),"Call Wall",IF(AND('Gamma Data'!C129&gt;0,'Gamma Data'!C129&gt;='Gamma Data'!B129*1.5),"Put Wall","(mixed)"))))</f>
        <v/>
      </c>
      <c r="E129" s="5">
        <f>IF(OR(A129="",$J$12=0),"",C129/$J$12)</f>
        <v/>
      </c>
      <c r="F129" s="4">
        <f>IF(A129="","",IF(C129&gt;=2*$J$12,"จุดหนืด",IF(C129&lt;=0.5*$J$12,"air pocket","")))</f>
        <v/>
      </c>
      <c r="H129" s="6">
        <f>IF(AND(A129&gt;=$J$6,'Gamma Data'!B129&gt;0,'Gamma Data'!B129&gt;='Gamma Data'!C129*1.5),'Gamma Data'!B129,0)</f>
        <v/>
      </c>
      <c r="AB129">
        <f>IF(NOT(ISNUMBER('Gamma Data'!A129)),"",IF((ABS('Gamma Data'!B129)+ABS('Gamma Data'!C129))=0,"",IF(OR(ABS('Gamma Data'!A129-$J$6)&gt;$J$6*$J$26,ABS('Gamma Data'!A129-$J$6)&lt;$J$28),"",(ABS('Gamma Data'!B129)+ABS('Gamma Data'!C129))/MAX(ABS('Gamma Data'!A129-$J$6)/($J$6*0.005),1)+ROW()/1000000000)))</f>
        <v/>
      </c>
    </row>
    <row r="130" ht="15" customHeight="1" s="35">
      <c r="A130" s="3">
        <f>IF('Gamma Data'!A130="","",'Gamma Data'!A130)</f>
        <v/>
      </c>
      <c r="B130" s="3">
        <f>IF(A130="","",'Gamma Data'!B130-'Gamma Data'!C130)</f>
        <v/>
      </c>
      <c r="C130" s="3">
        <f>IF(A130="","",ABS('Gamma Data'!B130)+ABS('Gamma Data'!C130))</f>
        <v/>
      </c>
      <c r="D130" s="4">
        <f>IF(A130="","",IF(C130=0,"-",IF(AND('Gamma Data'!B130&gt;0,'Gamma Data'!B130&gt;='Gamma Data'!C130*1.5),"Call Wall",IF(AND('Gamma Data'!C130&gt;0,'Gamma Data'!C130&gt;='Gamma Data'!B130*1.5),"Put Wall","(mixed)"))))</f>
        <v/>
      </c>
      <c r="E130" s="5">
        <f>IF(OR(A130="",$J$12=0),"",C130/$J$12)</f>
        <v/>
      </c>
      <c r="F130" s="4">
        <f>IF(A130="","",IF(C130&gt;=2*$J$12,"จุดหนืด",IF(C130&lt;=0.5*$J$12,"air pocket","")))</f>
        <v/>
      </c>
      <c r="H130" s="6">
        <f>IF(AND(A130&gt;=$J$6,'Gamma Data'!B130&gt;0,'Gamma Data'!B130&gt;='Gamma Data'!C130*1.5),'Gamma Data'!B130,0)</f>
        <v/>
      </c>
      <c r="AB130">
        <f>IF(NOT(ISNUMBER('Gamma Data'!A130)),"",IF((ABS('Gamma Data'!B130)+ABS('Gamma Data'!C130))=0,"",IF(OR(ABS('Gamma Data'!A130-$J$6)&gt;$J$6*$J$26,ABS('Gamma Data'!A130-$J$6)&lt;$J$28),"",(ABS('Gamma Data'!B130)+ABS('Gamma Data'!C130))/MAX(ABS('Gamma Data'!A130-$J$6)/($J$6*0.005),1)+ROW()/1000000000)))</f>
        <v/>
      </c>
    </row>
    <row r="131" ht="15" customHeight="1" s="35">
      <c r="A131" s="3">
        <f>IF('Gamma Data'!A131="","",'Gamma Data'!A131)</f>
        <v/>
      </c>
      <c r="B131" s="3">
        <f>IF(A131="","",'Gamma Data'!B131-'Gamma Data'!C131)</f>
        <v/>
      </c>
      <c r="C131" s="3">
        <f>IF(A131="","",ABS('Gamma Data'!B131)+ABS('Gamma Data'!C131))</f>
        <v/>
      </c>
      <c r="D131" s="4">
        <f>IF(A131="","",IF(C131=0,"-",IF(AND('Gamma Data'!B131&gt;0,'Gamma Data'!B131&gt;='Gamma Data'!C131*1.5),"Call Wall",IF(AND('Gamma Data'!C131&gt;0,'Gamma Data'!C131&gt;='Gamma Data'!B131*1.5),"Put Wall","(mixed)"))))</f>
        <v/>
      </c>
      <c r="E131" s="5">
        <f>IF(OR(A131="",$J$12=0),"",C131/$J$12)</f>
        <v/>
      </c>
      <c r="F131" s="4">
        <f>IF(A131="","",IF(C131&gt;=2*$J$12,"จุดหนืด",IF(C131&lt;=0.5*$J$12,"air pocket","")))</f>
        <v/>
      </c>
      <c r="H131" s="6">
        <f>IF(AND(A131&gt;=$J$6,'Gamma Data'!B131&gt;0,'Gamma Data'!B131&gt;='Gamma Data'!C131*1.5),'Gamma Data'!B131,0)</f>
        <v/>
      </c>
      <c r="AB131">
        <f>IF(NOT(ISNUMBER('Gamma Data'!A131)),"",IF((ABS('Gamma Data'!B131)+ABS('Gamma Data'!C131))=0,"",IF(OR(ABS('Gamma Data'!A131-$J$6)&gt;$J$6*$J$26,ABS('Gamma Data'!A131-$J$6)&lt;$J$28),"",(ABS('Gamma Data'!B131)+ABS('Gamma Data'!C131))/MAX(ABS('Gamma Data'!A131-$J$6)/($J$6*0.005),1)+ROW()/1000000000)))</f>
        <v/>
      </c>
    </row>
    <row r="132" ht="15" customHeight="1" s="35">
      <c r="A132" s="3">
        <f>IF('Gamma Data'!A132="","",'Gamma Data'!A132)</f>
        <v/>
      </c>
      <c r="B132" s="3">
        <f>IF(A132="","",'Gamma Data'!B132-'Gamma Data'!C132)</f>
        <v/>
      </c>
      <c r="C132" s="3">
        <f>IF(A132="","",ABS('Gamma Data'!B132)+ABS('Gamma Data'!C132))</f>
        <v/>
      </c>
      <c r="D132" s="4">
        <f>IF(A132="","",IF(C132=0,"-",IF(AND('Gamma Data'!B132&gt;0,'Gamma Data'!B132&gt;='Gamma Data'!C132*1.5),"Call Wall",IF(AND('Gamma Data'!C132&gt;0,'Gamma Data'!C132&gt;='Gamma Data'!B132*1.5),"Put Wall","(mixed)"))))</f>
        <v/>
      </c>
      <c r="E132" s="5">
        <f>IF(OR(A132="",$J$12=0),"",C132/$J$12)</f>
        <v/>
      </c>
      <c r="F132" s="4">
        <f>IF(A132="","",IF(C132&gt;=2*$J$12,"จุดหนืด",IF(C132&lt;=0.5*$J$12,"air pocket","")))</f>
        <v/>
      </c>
      <c r="H132" s="6">
        <f>IF(AND(A132&gt;=$J$6,'Gamma Data'!B132&gt;0,'Gamma Data'!B132&gt;='Gamma Data'!C132*1.5),'Gamma Data'!B132,0)</f>
        <v/>
      </c>
      <c r="AB132">
        <f>IF(NOT(ISNUMBER('Gamma Data'!A132)),"",IF((ABS('Gamma Data'!B132)+ABS('Gamma Data'!C132))=0,"",IF(OR(ABS('Gamma Data'!A132-$J$6)&gt;$J$6*$J$26,ABS('Gamma Data'!A132-$J$6)&lt;$J$28),"",(ABS('Gamma Data'!B132)+ABS('Gamma Data'!C132))/MAX(ABS('Gamma Data'!A132-$J$6)/($J$6*0.005),1)+ROW()/1000000000)))</f>
        <v/>
      </c>
    </row>
    <row r="133" ht="15" customHeight="1" s="35">
      <c r="A133" s="3">
        <f>IF('Gamma Data'!A133="","",'Gamma Data'!A133)</f>
        <v/>
      </c>
      <c r="B133" s="3">
        <f>IF(A133="","",'Gamma Data'!B133-'Gamma Data'!C133)</f>
        <v/>
      </c>
      <c r="C133" s="3">
        <f>IF(A133="","",ABS('Gamma Data'!B133)+ABS('Gamma Data'!C133))</f>
        <v/>
      </c>
      <c r="D133" s="4">
        <f>IF(A133="","",IF(C133=0,"-",IF(AND('Gamma Data'!B133&gt;0,'Gamma Data'!B133&gt;='Gamma Data'!C133*1.5),"Call Wall",IF(AND('Gamma Data'!C133&gt;0,'Gamma Data'!C133&gt;='Gamma Data'!B133*1.5),"Put Wall","(mixed)"))))</f>
        <v/>
      </c>
      <c r="E133" s="5">
        <f>IF(OR(A133="",$J$12=0),"",C133/$J$12)</f>
        <v/>
      </c>
      <c r="F133" s="4">
        <f>IF(A133="","",IF(C133&gt;=2*$J$12,"จุดหนืด",IF(C133&lt;=0.5*$J$12,"air pocket","")))</f>
        <v/>
      </c>
      <c r="H133" s="6">
        <f>IF(AND(A133&gt;=$J$6,'Gamma Data'!B133&gt;0,'Gamma Data'!B133&gt;='Gamma Data'!C133*1.5),'Gamma Data'!B133,0)</f>
        <v/>
      </c>
      <c r="AB133">
        <f>IF(NOT(ISNUMBER('Gamma Data'!A133)),"",IF((ABS('Gamma Data'!B133)+ABS('Gamma Data'!C133))=0,"",IF(OR(ABS('Gamma Data'!A133-$J$6)&gt;$J$6*$J$26,ABS('Gamma Data'!A133-$J$6)&lt;$J$28),"",(ABS('Gamma Data'!B133)+ABS('Gamma Data'!C133))/MAX(ABS('Gamma Data'!A133-$J$6)/($J$6*0.005),1)+ROW()/1000000000)))</f>
        <v/>
      </c>
    </row>
    <row r="134" ht="15" customHeight="1" s="35">
      <c r="A134" s="3">
        <f>IF('Gamma Data'!A134="","",'Gamma Data'!A134)</f>
        <v/>
      </c>
      <c r="B134" s="3">
        <f>IF(A134="","",'Gamma Data'!B134-'Gamma Data'!C134)</f>
        <v/>
      </c>
      <c r="C134" s="3">
        <f>IF(A134="","",ABS('Gamma Data'!B134)+ABS('Gamma Data'!C134))</f>
        <v/>
      </c>
      <c r="D134" s="4">
        <f>IF(A134="","",IF(C134=0,"-",IF(AND('Gamma Data'!B134&gt;0,'Gamma Data'!B134&gt;='Gamma Data'!C134*1.5),"Call Wall",IF(AND('Gamma Data'!C134&gt;0,'Gamma Data'!C134&gt;='Gamma Data'!B134*1.5),"Put Wall","(mixed)"))))</f>
        <v/>
      </c>
      <c r="E134" s="5">
        <f>IF(OR(A134="",$J$12=0),"",C134/$J$12)</f>
        <v/>
      </c>
      <c r="F134" s="4">
        <f>IF(A134="","",IF(C134&gt;=2*$J$12,"จุดหนืด",IF(C134&lt;=0.5*$J$12,"air pocket","")))</f>
        <v/>
      </c>
      <c r="H134" s="6">
        <f>IF(AND(A134&gt;=$J$6,'Gamma Data'!B134&gt;0,'Gamma Data'!B134&gt;='Gamma Data'!C134*1.5),'Gamma Data'!B134,0)</f>
        <v/>
      </c>
      <c r="AB134">
        <f>IF(NOT(ISNUMBER('Gamma Data'!A134)),"",IF((ABS('Gamma Data'!B134)+ABS('Gamma Data'!C134))=0,"",IF(OR(ABS('Gamma Data'!A134-$J$6)&gt;$J$6*$J$26,ABS('Gamma Data'!A134-$J$6)&lt;$J$28),"",(ABS('Gamma Data'!B134)+ABS('Gamma Data'!C134))/MAX(ABS('Gamma Data'!A134-$J$6)/($J$6*0.005),1)+ROW()/1000000000)))</f>
        <v/>
      </c>
    </row>
    <row r="135" ht="15" customHeight="1" s="35">
      <c r="A135" s="3">
        <f>IF('Gamma Data'!A135="","",'Gamma Data'!A135)</f>
        <v/>
      </c>
      <c r="B135" s="3">
        <f>IF(A135="","",'Gamma Data'!B135-'Gamma Data'!C135)</f>
        <v/>
      </c>
      <c r="C135" s="3">
        <f>IF(A135="","",ABS('Gamma Data'!B135)+ABS('Gamma Data'!C135))</f>
        <v/>
      </c>
      <c r="D135" s="4">
        <f>IF(A135="","",IF(C135=0,"-",IF(AND('Gamma Data'!B135&gt;0,'Gamma Data'!B135&gt;='Gamma Data'!C135*1.5),"Call Wall",IF(AND('Gamma Data'!C135&gt;0,'Gamma Data'!C135&gt;='Gamma Data'!B135*1.5),"Put Wall","(mixed)"))))</f>
        <v/>
      </c>
      <c r="E135" s="5">
        <f>IF(OR(A135="",$J$12=0),"",C135/$J$12)</f>
        <v/>
      </c>
      <c r="F135" s="4">
        <f>IF(A135="","",IF(C135&gt;=2*$J$12,"จุดหนืด",IF(C135&lt;=0.5*$J$12,"air pocket","")))</f>
        <v/>
      </c>
      <c r="H135" s="6">
        <f>IF(AND(A135&gt;=$J$6,'Gamma Data'!B135&gt;0,'Gamma Data'!B135&gt;='Gamma Data'!C135*1.5),'Gamma Data'!B135,0)</f>
        <v/>
      </c>
      <c r="AB135">
        <f>IF(NOT(ISNUMBER('Gamma Data'!A135)),"",IF((ABS('Gamma Data'!B135)+ABS('Gamma Data'!C135))=0,"",IF(OR(ABS('Gamma Data'!A135-$J$6)&gt;$J$6*$J$26,ABS('Gamma Data'!A135-$J$6)&lt;$J$28),"",(ABS('Gamma Data'!B135)+ABS('Gamma Data'!C135))/MAX(ABS('Gamma Data'!A135-$J$6)/($J$6*0.005),1)+ROW()/1000000000)))</f>
        <v/>
      </c>
    </row>
    <row r="136" ht="15" customHeight="1" s="35">
      <c r="A136" s="3">
        <f>IF('Gamma Data'!A136="","",'Gamma Data'!A136)</f>
        <v/>
      </c>
      <c r="B136" s="3">
        <f>IF(A136="","",'Gamma Data'!B136-'Gamma Data'!C136)</f>
        <v/>
      </c>
      <c r="C136" s="3">
        <f>IF(A136="","",ABS('Gamma Data'!B136)+ABS('Gamma Data'!C136))</f>
        <v/>
      </c>
      <c r="D136" s="4">
        <f>IF(A136="","",IF(C136=0,"-",IF(AND('Gamma Data'!B136&gt;0,'Gamma Data'!B136&gt;='Gamma Data'!C136*1.5),"Call Wall",IF(AND('Gamma Data'!C136&gt;0,'Gamma Data'!C136&gt;='Gamma Data'!B136*1.5),"Put Wall","(mixed)"))))</f>
        <v/>
      </c>
      <c r="E136" s="5">
        <f>IF(OR(A136="",$J$12=0),"",C136/$J$12)</f>
        <v/>
      </c>
      <c r="F136" s="4">
        <f>IF(A136="","",IF(C136&gt;=2*$J$12,"จุดหนืด",IF(C136&lt;=0.5*$J$12,"air pocket","")))</f>
        <v/>
      </c>
      <c r="H136" s="6">
        <f>IF(AND(A136&gt;=$J$6,'Gamma Data'!B136&gt;0,'Gamma Data'!B136&gt;='Gamma Data'!C136*1.5),'Gamma Data'!B136,0)</f>
        <v/>
      </c>
      <c r="AB136">
        <f>IF(NOT(ISNUMBER('Gamma Data'!A136)),"",IF((ABS('Gamma Data'!B136)+ABS('Gamma Data'!C136))=0,"",IF(OR(ABS('Gamma Data'!A136-$J$6)&gt;$J$6*$J$26,ABS('Gamma Data'!A136-$J$6)&lt;$J$28),"",(ABS('Gamma Data'!B136)+ABS('Gamma Data'!C136))/MAX(ABS('Gamma Data'!A136-$J$6)/($J$6*0.005),1)+ROW()/1000000000)))</f>
        <v/>
      </c>
    </row>
    <row r="137" ht="15" customHeight="1" s="35">
      <c r="A137" s="3">
        <f>IF('Gamma Data'!A137="","",'Gamma Data'!A137)</f>
        <v/>
      </c>
      <c r="B137" s="3">
        <f>IF(A137="","",'Gamma Data'!B137-'Gamma Data'!C137)</f>
        <v/>
      </c>
      <c r="C137" s="3">
        <f>IF(A137="","",ABS('Gamma Data'!B137)+ABS('Gamma Data'!C137))</f>
        <v/>
      </c>
      <c r="D137" s="4">
        <f>IF(A137="","",IF(C137=0,"-",IF(AND('Gamma Data'!B137&gt;0,'Gamma Data'!B137&gt;='Gamma Data'!C137*1.5),"Call Wall",IF(AND('Gamma Data'!C137&gt;0,'Gamma Data'!C137&gt;='Gamma Data'!B137*1.5),"Put Wall","(mixed)"))))</f>
        <v/>
      </c>
      <c r="E137" s="5">
        <f>IF(OR(A137="",$J$12=0),"",C137/$J$12)</f>
        <v/>
      </c>
      <c r="F137" s="4">
        <f>IF(A137="","",IF(C137&gt;=2*$J$12,"จุดหนืด",IF(C137&lt;=0.5*$J$12,"air pocket","")))</f>
        <v/>
      </c>
      <c r="H137" s="6">
        <f>IF(AND(A137&gt;=$J$6,'Gamma Data'!B137&gt;0,'Gamma Data'!B137&gt;='Gamma Data'!C137*1.5),'Gamma Data'!B137,0)</f>
        <v/>
      </c>
      <c r="AB137">
        <f>IF(NOT(ISNUMBER('Gamma Data'!A137)),"",IF((ABS('Gamma Data'!B137)+ABS('Gamma Data'!C137))=0,"",IF(OR(ABS('Gamma Data'!A137-$J$6)&gt;$J$6*$J$26,ABS('Gamma Data'!A137-$J$6)&lt;$J$28),"",(ABS('Gamma Data'!B137)+ABS('Gamma Data'!C137))/MAX(ABS('Gamma Data'!A137-$J$6)/($J$6*0.005),1)+ROW()/1000000000)))</f>
        <v/>
      </c>
    </row>
    <row r="138" ht="15" customHeight="1" s="35">
      <c r="A138" s="3">
        <f>IF('Gamma Data'!A138="","",'Gamma Data'!A138)</f>
        <v/>
      </c>
      <c r="B138" s="3">
        <f>IF(A138="","",'Gamma Data'!B138-'Gamma Data'!C138)</f>
        <v/>
      </c>
      <c r="C138" s="3">
        <f>IF(A138="","",ABS('Gamma Data'!B138)+ABS('Gamma Data'!C138))</f>
        <v/>
      </c>
      <c r="D138" s="4">
        <f>IF(A138="","",IF(C138=0,"-",IF(AND('Gamma Data'!B138&gt;0,'Gamma Data'!B138&gt;='Gamma Data'!C138*1.5),"Call Wall",IF(AND('Gamma Data'!C138&gt;0,'Gamma Data'!C138&gt;='Gamma Data'!B138*1.5),"Put Wall","(mixed)"))))</f>
        <v/>
      </c>
      <c r="E138" s="5">
        <f>IF(OR(A138="",$J$12=0),"",C138/$J$12)</f>
        <v/>
      </c>
      <c r="F138" s="4">
        <f>IF(A138="","",IF(C138&gt;=2*$J$12,"จุดหนืด",IF(C138&lt;=0.5*$J$12,"air pocket","")))</f>
        <v/>
      </c>
      <c r="H138" s="6">
        <f>IF(AND(A138&gt;=$J$6,'Gamma Data'!B138&gt;0,'Gamma Data'!B138&gt;='Gamma Data'!C138*1.5),'Gamma Data'!B138,0)</f>
        <v/>
      </c>
      <c r="AB138">
        <f>IF(NOT(ISNUMBER('Gamma Data'!A138)),"",IF((ABS('Gamma Data'!B138)+ABS('Gamma Data'!C138))=0,"",IF(OR(ABS('Gamma Data'!A138-$J$6)&gt;$J$6*$J$26,ABS('Gamma Data'!A138-$J$6)&lt;$J$28),"",(ABS('Gamma Data'!B138)+ABS('Gamma Data'!C138))/MAX(ABS('Gamma Data'!A138-$J$6)/($J$6*0.005),1)+ROW()/1000000000)))</f>
        <v/>
      </c>
    </row>
    <row r="139" ht="15" customHeight="1" s="35">
      <c r="A139" s="3">
        <f>IF('Gamma Data'!A139="","",'Gamma Data'!A139)</f>
        <v/>
      </c>
      <c r="B139" s="3">
        <f>IF(A139="","",'Gamma Data'!B139-'Gamma Data'!C139)</f>
        <v/>
      </c>
      <c r="C139" s="3">
        <f>IF(A139="","",ABS('Gamma Data'!B139)+ABS('Gamma Data'!C139))</f>
        <v/>
      </c>
      <c r="D139" s="4">
        <f>IF(A139="","",IF(C139=0,"-",IF(AND('Gamma Data'!B139&gt;0,'Gamma Data'!B139&gt;='Gamma Data'!C139*1.5),"Call Wall",IF(AND('Gamma Data'!C139&gt;0,'Gamma Data'!C139&gt;='Gamma Data'!B139*1.5),"Put Wall","(mixed)"))))</f>
        <v/>
      </c>
      <c r="E139" s="5">
        <f>IF(OR(A139="",$J$12=0),"",C139/$J$12)</f>
        <v/>
      </c>
      <c r="F139" s="4">
        <f>IF(A139="","",IF(C139&gt;=2*$J$12,"จุดหนืด",IF(C139&lt;=0.5*$J$12,"air pocket","")))</f>
        <v/>
      </c>
      <c r="H139" s="6">
        <f>IF(AND(A139&gt;=$J$6,'Gamma Data'!B139&gt;0,'Gamma Data'!B139&gt;='Gamma Data'!C139*1.5),'Gamma Data'!B139,0)</f>
        <v/>
      </c>
      <c r="AB139">
        <f>IF(NOT(ISNUMBER('Gamma Data'!A139)),"",IF((ABS('Gamma Data'!B139)+ABS('Gamma Data'!C139))=0,"",IF(OR(ABS('Gamma Data'!A139-$J$6)&gt;$J$6*$J$26,ABS('Gamma Data'!A139-$J$6)&lt;$J$28),"",(ABS('Gamma Data'!B139)+ABS('Gamma Data'!C139))/MAX(ABS('Gamma Data'!A139-$J$6)/($J$6*0.005),1)+ROW()/1000000000)))</f>
        <v/>
      </c>
    </row>
    <row r="140" ht="15" customHeight="1" s="35">
      <c r="A140" s="3">
        <f>IF('Gamma Data'!A140="","",'Gamma Data'!A140)</f>
        <v/>
      </c>
      <c r="B140" s="3">
        <f>IF(A140="","",'Gamma Data'!B140-'Gamma Data'!C140)</f>
        <v/>
      </c>
      <c r="C140" s="3">
        <f>IF(A140="","",ABS('Gamma Data'!B140)+ABS('Gamma Data'!C140))</f>
        <v/>
      </c>
      <c r="D140" s="4">
        <f>IF(A140="","",IF(C140=0,"-",IF(AND('Gamma Data'!B140&gt;0,'Gamma Data'!B140&gt;='Gamma Data'!C140*1.5),"Call Wall",IF(AND('Gamma Data'!C140&gt;0,'Gamma Data'!C140&gt;='Gamma Data'!B140*1.5),"Put Wall","(mixed)"))))</f>
        <v/>
      </c>
      <c r="E140" s="5">
        <f>IF(OR(A140="",$J$12=0),"",C140/$J$12)</f>
        <v/>
      </c>
      <c r="F140" s="4">
        <f>IF(A140="","",IF(C140&gt;=2*$J$12,"จุดหนืด",IF(C140&lt;=0.5*$J$12,"air pocket","")))</f>
        <v/>
      </c>
      <c r="H140" s="6">
        <f>IF(AND(A140&gt;=$J$6,'Gamma Data'!B140&gt;0,'Gamma Data'!B140&gt;='Gamma Data'!C140*1.5),'Gamma Data'!B140,0)</f>
        <v/>
      </c>
      <c r="AB140">
        <f>IF(NOT(ISNUMBER('Gamma Data'!A140)),"",IF((ABS('Gamma Data'!B140)+ABS('Gamma Data'!C140))=0,"",IF(OR(ABS('Gamma Data'!A140-$J$6)&gt;$J$6*$J$26,ABS('Gamma Data'!A140-$J$6)&lt;$J$28),"",(ABS('Gamma Data'!B140)+ABS('Gamma Data'!C140))/MAX(ABS('Gamma Data'!A140-$J$6)/($J$6*0.005),1)+ROW()/1000000000)))</f>
        <v/>
      </c>
    </row>
    <row r="141" ht="15" customHeight="1" s="35">
      <c r="A141" s="3">
        <f>IF('Gamma Data'!A141="","",'Gamma Data'!A141)</f>
        <v/>
      </c>
      <c r="B141" s="3">
        <f>IF(A141="","",'Gamma Data'!B141-'Gamma Data'!C141)</f>
        <v/>
      </c>
      <c r="C141" s="3">
        <f>IF(A141="","",ABS('Gamma Data'!B141)+ABS('Gamma Data'!C141))</f>
        <v/>
      </c>
      <c r="D141" s="4">
        <f>IF(A141="","",IF(C141=0,"-",IF(AND('Gamma Data'!B141&gt;0,'Gamma Data'!B141&gt;='Gamma Data'!C141*1.5),"Call Wall",IF(AND('Gamma Data'!C141&gt;0,'Gamma Data'!C141&gt;='Gamma Data'!B141*1.5),"Put Wall","(mixed)"))))</f>
        <v/>
      </c>
      <c r="E141" s="5">
        <f>IF(OR(A141="",$J$12=0),"",C141/$J$12)</f>
        <v/>
      </c>
      <c r="F141" s="4">
        <f>IF(A141="","",IF(C141&gt;=2*$J$12,"จุดหนืด",IF(C141&lt;=0.5*$J$12,"air pocket","")))</f>
        <v/>
      </c>
      <c r="H141" s="6">
        <f>IF(AND(A141&gt;=$J$6,'Gamma Data'!B141&gt;0,'Gamma Data'!B141&gt;='Gamma Data'!C141*1.5),'Gamma Data'!B141,0)</f>
        <v/>
      </c>
      <c r="AB141">
        <f>IF(NOT(ISNUMBER('Gamma Data'!A141)),"",IF((ABS('Gamma Data'!B141)+ABS('Gamma Data'!C141))=0,"",IF(OR(ABS('Gamma Data'!A141-$J$6)&gt;$J$6*$J$26,ABS('Gamma Data'!A141-$J$6)&lt;$J$28),"",(ABS('Gamma Data'!B141)+ABS('Gamma Data'!C141))/MAX(ABS('Gamma Data'!A141-$J$6)/($J$6*0.005),1)+ROW()/1000000000)))</f>
        <v/>
      </c>
    </row>
    <row r="142" ht="15" customHeight="1" s="35">
      <c r="A142" s="3">
        <f>IF('Gamma Data'!A142="","",'Gamma Data'!A142)</f>
        <v/>
      </c>
      <c r="B142" s="3">
        <f>IF(A142="","",'Gamma Data'!B142-'Gamma Data'!C142)</f>
        <v/>
      </c>
      <c r="C142" s="3">
        <f>IF(A142="","",ABS('Gamma Data'!B142)+ABS('Gamma Data'!C142))</f>
        <v/>
      </c>
      <c r="D142" s="4">
        <f>IF(A142="","",IF(C142=0,"-",IF(AND('Gamma Data'!B142&gt;0,'Gamma Data'!B142&gt;='Gamma Data'!C142*1.5),"Call Wall",IF(AND('Gamma Data'!C142&gt;0,'Gamma Data'!C142&gt;='Gamma Data'!B142*1.5),"Put Wall","(mixed)"))))</f>
        <v/>
      </c>
      <c r="E142" s="5">
        <f>IF(OR(A142="",$J$12=0),"",C142/$J$12)</f>
        <v/>
      </c>
      <c r="F142" s="4">
        <f>IF(A142="","",IF(C142&gt;=2*$J$12,"จุดหนืด",IF(C142&lt;=0.5*$J$12,"air pocket","")))</f>
        <v/>
      </c>
      <c r="H142" s="6">
        <f>IF(AND(A142&gt;=$J$6,'Gamma Data'!B142&gt;0,'Gamma Data'!B142&gt;='Gamma Data'!C142*1.5),'Gamma Data'!B142,0)</f>
        <v/>
      </c>
      <c r="AB142">
        <f>IF(NOT(ISNUMBER('Gamma Data'!A142)),"",IF((ABS('Gamma Data'!B142)+ABS('Gamma Data'!C142))=0,"",IF(OR(ABS('Gamma Data'!A142-$J$6)&gt;$J$6*$J$26,ABS('Gamma Data'!A142-$J$6)&lt;$J$28),"",(ABS('Gamma Data'!B142)+ABS('Gamma Data'!C142))/MAX(ABS('Gamma Data'!A142-$J$6)/($J$6*0.005),1)+ROW()/1000000000)))</f>
        <v/>
      </c>
    </row>
    <row r="143" ht="15" customHeight="1" s="35">
      <c r="A143" s="3">
        <f>IF('Gamma Data'!A143="","",'Gamma Data'!A143)</f>
        <v/>
      </c>
      <c r="B143" s="3">
        <f>IF(A143="","",'Gamma Data'!B143-'Gamma Data'!C143)</f>
        <v/>
      </c>
      <c r="C143" s="3">
        <f>IF(A143="","",ABS('Gamma Data'!B143)+ABS('Gamma Data'!C143))</f>
        <v/>
      </c>
      <c r="D143" s="4">
        <f>IF(A143="","",IF(C143=0,"-",IF(AND('Gamma Data'!B143&gt;0,'Gamma Data'!B143&gt;='Gamma Data'!C143*1.5),"Call Wall",IF(AND('Gamma Data'!C143&gt;0,'Gamma Data'!C143&gt;='Gamma Data'!B143*1.5),"Put Wall","(mixed)"))))</f>
        <v/>
      </c>
      <c r="E143" s="5">
        <f>IF(OR(A143="",$J$12=0),"",C143/$J$12)</f>
        <v/>
      </c>
      <c r="F143" s="4">
        <f>IF(A143="","",IF(C143&gt;=2*$J$12,"จุดหนืด",IF(C143&lt;=0.5*$J$12,"air pocket","")))</f>
        <v/>
      </c>
      <c r="H143" s="6">
        <f>IF(AND(A143&gt;=$J$6,'Gamma Data'!B143&gt;0,'Gamma Data'!B143&gt;='Gamma Data'!C143*1.5),'Gamma Data'!B143,0)</f>
        <v/>
      </c>
      <c r="AB143">
        <f>IF(NOT(ISNUMBER('Gamma Data'!A143)),"",IF((ABS('Gamma Data'!B143)+ABS('Gamma Data'!C143))=0,"",IF(OR(ABS('Gamma Data'!A143-$J$6)&gt;$J$6*$J$26,ABS('Gamma Data'!A143-$J$6)&lt;$J$28),"",(ABS('Gamma Data'!B143)+ABS('Gamma Data'!C143))/MAX(ABS('Gamma Data'!A143-$J$6)/($J$6*0.005),1)+ROW()/1000000000)))</f>
        <v/>
      </c>
    </row>
    <row r="144" ht="15" customHeight="1" s="35">
      <c r="A144" s="3">
        <f>IF('Gamma Data'!A144="","",'Gamma Data'!A144)</f>
        <v/>
      </c>
      <c r="B144" s="3">
        <f>IF(A144="","",'Gamma Data'!B144-'Gamma Data'!C144)</f>
        <v/>
      </c>
      <c r="C144" s="3">
        <f>IF(A144="","",ABS('Gamma Data'!B144)+ABS('Gamma Data'!C144))</f>
        <v/>
      </c>
      <c r="D144" s="4">
        <f>IF(A144="","",IF(C144=0,"-",IF(AND('Gamma Data'!B144&gt;0,'Gamma Data'!B144&gt;='Gamma Data'!C144*1.5),"Call Wall",IF(AND('Gamma Data'!C144&gt;0,'Gamma Data'!C144&gt;='Gamma Data'!B144*1.5),"Put Wall","(mixed)"))))</f>
        <v/>
      </c>
      <c r="E144" s="5">
        <f>IF(OR(A144="",$J$12=0),"",C144/$J$12)</f>
        <v/>
      </c>
      <c r="F144" s="4">
        <f>IF(A144="","",IF(C144&gt;=2*$J$12,"จุดหนืด",IF(C144&lt;=0.5*$J$12,"air pocket","")))</f>
        <v/>
      </c>
      <c r="H144" s="6">
        <f>IF(AND(A144&gt;=$J$6,'Gamma Data'!B144&gt;0,'Gamma Data'!B144&gt;='Gamma Data'!C144*1.5),'Gamma Data'!B144,0)</f>
        <v/>
      </c>
      <c r="AB144">
        <f>IF(NOT(ISNUMBER('Gamma Data'!A144)),"",IF((ABS('Gamma Data'!B144)+ABS('Gamma Data'!C144))=0,"",IF(OR(ABS('Gamma Data'!A144-$J$6)&gt;$J$6*$J$26,ABS('Gamma Data'!A144-$J$6)&lt;$J$28),"",(ABS('Gamma Data'!B144)+ABS('Gamma Data'!C144))/MAX(ABS('Gamma Data'!A144-$J$6)/($J$6*0.005),1)+ROW()/1000000000)))</f>
        <v/>
      </c>
    </row>
    <row r="145" ht="15" customHeight="1" s="35">
      <c r="A145" s="3">
        <f>IF('Gamma Data'!A145="","",'Gamma Data'!A145)</f>
        <v/>
      </c>
      <c r="B145" s="3">
        <f>IF(A145="","",'Gamma Data'!B145-'Gamma Data'!C145)</f>
        <v/>
      </c>
      <c r="C145" s="3">
        <f>IF(A145="","",ABS('Gamma Data'!B145)+ABS('Gamma Data'!C145))</f>
        <v/>
      </c>
      <c r="D145" s="4">
        <f>IF(A145="","",IF(C145=0,"-",IF(AND('Gamma Data'!B145&gt;0,'Gamma Data'!B145&gt;='Gamma Data'!C145*1.5),"Call Wall",IF(AND('Gamma Data'!C145&gt;0,'Gamma Data'!C145&gt;='Gamma Data'!B145*1.5),"Put Wall","(mixed)"))))</f>
        <v/>
      </c>
      <c r="E145" s="5">
        <f>IF(OR(A145="",$J$12=0),"",C145/$J$12)</f>
        <v/>
      </c>
      <c r="F145" s="4">
        <f>IF(A145="","",IF(C145&gt;=2*$J$12,"จุดหนืด",IF(C145&lt;=0.5*$J$12,"air pocket","")))</f>
        <v/>
      </c>
      <c r="H145" s="6">
        <f>IF(AND(A145&gt;=$J$6,'Gamma Data'!B145&gt;0,'Gamma Data'!B145&gt;='Gamma Data'!C145*1.5),'Gamma Data'!B145,0)</f>
        <v/>
      </c>
      <c r="AB145">
        <f>IF(NOT(ISNUMBER('Gamma Data'!A145)),"",IF((ABS('Gamma Data'!B145)+ABS('Gamma Data'!C145))=0,"",IF(OR(ABS('Gamma Data'!A145-$J$6)&gt;$J$6*$J$26,ABS('Gamma Data'!A145-$J$6)&lt;$J$28),"",(ABS('Gamma Data'!B145)+ABS('Gamma Data'!C145))/MAX(ABS('Gamma Data'!A145-$J$6)/($J$6*0.005),1)+ROW()/1000000000)))</f>
        <v/>
      </c>
    </row>
    <row r="146" ht="15" customHeight="1" s="35">
      <c r="A146" s="3">
        <f>IF('Gamma Data'!A146="","",'Gamma Data'!A146)</f>
        <v/>
      </c>
      <c r="B146" s="3">
        <f>IF(A146="","",'Gamma Data'!B146-'Gamma Data'!C146)</f>
        <v/>
      </c>
      <c r="C146" s="3">
        <f>IF(A146="","",ABS('Gamma Data'!B146)+ABS('Gamma Data'!C146))</f>
        <v/>
      </c>
      <c r="D146" s="4">
        <f>IF(A146="","",IF(C146=0,"-",IF(AND('Gamma Data'!B146&gt;0,'Gamma Data'!B146&gt;='Gamma Data'!C146*1.5),"Call Wall",IF(AND('Gamma Data'!C146&gt;0,'Gamma Data'!C146&gt;='Gamma Data'!B146*1.5),"Put Wall","(mixed)"))))</f>
        <v/>
      </c>
      <c r="E146" s="5">
        <f>IF(OR(A146="",$J$12=0),"",C146/$J$12)</f>
        <v/>
      </c>
      <c r="F146" s="4">
        <f>IF(A146="","",IF(C146&gt;=2*$J$12,"จุดหนืด",IF(C146&lt;=0.5*$J$12,"air pocket","")))</f>
        <v/>
      </c>
      <c r="H146" s="6">
        <f>IF(AND(A146&gt;=$J$6,'Gamma Data'!B146&gt;0,'Gamma Data'!B146&gt;='Gamma Data'!C146*1.5),'Gamma Data'!B146,0)</f>
        <v/>
      </c>
      <c r="AB146">
        <f>IF(NOT(ISNUMBER('Gamma Data'!A146)),"",IF((ABS('Gamma Data'!B146)+ABS('Gamma Data'!C146))=0,"",IF(OR(ABS('Gamma Data'!A146-$J$6)&gt;$J$6*$J$26,ABS('Gamma Data'!A146-$J$6)&lt;$J$28),"",(ABS('Gamma Data'!B146)+ABS('Gamma Data'!C146))/MAX(ABS('Gamma Data'!A146-$J$6)/($J$6*0.005),1)+ROW()/1000000000)))</f>
        <v/>
      </c>
    </row>
    <row r="147" ht="15" customHeight="1" s="35">
      <c r="A147" s="3">
        <f>IF('Gamma Data'!A147="","",'Gamma Data'!A147)</f>
        <v/>
      </c>
      <c r="B147" s="3">
        <f>IF(A147="","",'Gamma Data'!B147-'Gamma Data'!C147)</f>
        <v/>
      </c>
      <c r="C147" s="3">
        <f>IF(A147="","",ABS('Gamma Data'!B147)+ABS('Gamma Data'!C147))</f>
        <v/>
      </c>
      <c r="D147" s="4">
        <f>IF(A147="","",IF(C147=0,"-",IF(AND('Gamma Data'!B147&gt;0,'Gamma Data'!B147&gt;='Gamma Data'!C147*1.5),"Call Wall",IF(AND('Gamma Data'!C147&gt;0,'Gamma Data'!C147&gt;='Gamma Data'!B147*1.5),"Put Wall","(mixed)"))))</f>
        <v/>
      </c>
      <c r="E147" s="5">
        <f>IF(OR(A147="",$J$12=0),"",C147/$J$12)</f>
        <v/>
      </c>
      <c r="F147" s="4">
        <f>IF(A147="","",IF(C147&gt;=2*$J$12,"จุดหนืด",IF(C147&lt;=0.5*$J$12,"air pocket","")))</f>
        <v/>
      </c>
      <c r="H147" s="6">
        <f>IF(AND(A147&gt;=$J$6,'Gamma Data'!B147&gt;0,'Gamma Data'!B147&gt;='Gamma Data'!C147*1.5),'Gamma Data'!B147,0)</f>
        <v/>
      </c>
      <c r="AB147">
        <f>IF(NOT(ISNUMBER('Gamma Data'!A147)),"",IF((ABS('Gamma Data'!B147)+ABS('Gamma Data'!C147))=0,"",IF(OR(ABS('Gamma Data'!A147-$J$6)&gt;$J$6*$J$26,ABS('Gamma Data'!A147-$J$6)&lt;$J$28),"",(ABS('Gamma Data'!B147)+ABS('Gamma Data'!C147))/MAX(ABS('Gamma Data'!A147-$J$6)/($J$6*0.005),1)+ROW()/1000000000)))</f>
        <v/>
      </c>
    </row>
    <row r="148" ht="15" customHeight="1" s="35">
      <c r="A148" s="3">
        <f>IF('Gamma Data'!A148="","",'Gamma Data'!A148)</f>
        <v/>
      </c>
      <c r="B148" s="3">
        <f>IF(A148="","",'Gamma Data'!B148-'Gamma Data'!C148)</f>
        <v/>
      </c>
      <c r="C148" s="3">
        <f>IF(A148="","",ABS('Gamma Data'!B148)+ABS('Gamma Data'!C148))</f>
        <v/>
      </c>
      <c r="D148" s="4">
        <f>IF(A148="","",IF(C148=0,"-",IF(AND('Gamma Data'!B148&gt;0,'Gamma Data'!B148&gt;='Gamma Data'!C148*1.5),"Call Wall",IF(AND('Gamma Data'!C148&gt;0,'Gamma Data'!C148&gt;='Gamma Data'!B148*1.5),"Put Wall","(mixed)"))))</f>
        <v/>
      </c>
      <c r="E148" s="5">
        <f>IF(OR(A148="",$J$12=0),"",C148/$J$12)</f>
        <v/>
      </c>
      <c r="F148" s="4">
        <f>IF(A148="","",IF(C148&gt;=2*$J$12,"จุดหนืด",IF(C148&lt;=0.5*$J$12,"air pocket","")))</f>
        <v/>
      </c>
      <c r="H148" s="6">
        <f>IF(AND(A148&gt;=$J$6,'Gamma Data'!B148&gt;0,'Gamma Data'!B148&gt;='Gamma Data'!C148*1.5),'Gamma Data'!B148,0)</f>
        <v/>
      </c>
      <c r="AB148">
        <f>IF(NOT(ISNUMBER('Gamma Data'!A148)),"",IF((ABS('Gamma Data'!B148)+ABS('Gamma Data'!C148))=0,"",IF(OR(ABS('Gamma Data'!A148-$J$6)&gt;$J$6*$J$26,ABS('Gamma Data'!A148-$J$6)&lt;$J$28),"",(ABS('Gamma Data'!B148)+ABS('Gamma Data'!C148))/MAX(ABS('Gamma Data'!A148-$J$6)/($J$6*0.005),1)+ROW()/1000000000)))</f>
        <v/>
      </c>
    </row>
    <row r="149" ht="15" customHeight="1" s="35">
      <c r="A149" s="3">
        <f>IF('Gamma Data'!A149="","",'Gamma Data'!A149)</f>
        <v/>
      </c>
      <c r="B149" s="3">
        <f>IF(A149="","",'Gamma Data'!B149-'Gamma Data'!C149)</f>
        <v/>
      </c>
      <c r="C149" s="3">
        <f>IF(A149="","",ABS('Gamma Data'!B149)+ABS('Gamma Data'!C149))</f>
        <v/>
      </c>
      <c r="D149" s="4">
        <f>IF(A149="","",IF(C149=0,"-",IF(AND('Gamma Data'!B149&gt;0,'Gamma Data'!B149&gt;='Gamma Data'!C149*1.5),"Call Wall",IF(AND('Gamma Data'!C149&gt;0,'Gamma Data'!C149&gt;='Gamma Data'!B149*1.5),"Put Wall","(mixed)"))))</f>
        <v/>
      </c>
      <c r="E149" s="5">
        <f>IF(OR(A149="",$J$12=0),"",C149/$J$12)</f>
        <v/>
      </c>
      <c r="F149" s="4">
        <f>IF(A149="","",IF(C149&gt;=2*$J$12,"จุดหนืด",IF(C149&lt;=0.5*$J$12,"air pocket","")))</f>
        <v/>
      </c>
      <c r="H149" s="6">
        <f>IF(AND(A149&gt;=$J$6,'Gamma Data'!B149&gt;0,'Gamma Data'!B149&gt;='Gamma Data'!C149*1.5),'Gamma Data'!B149,0)</f>
        <v/>
      </c>
      <c r="AB149">
        <f>IF(NOT(ISNUMBER('Gamma Data'!A149)),"",IF((ABS('Gamma Data'!B149)+ABS('Gamma Data'!C149))=0,"",IF(OR(ABS('Gamma Data'!A149-$J$6)&gt;$J$6*$J$26,ABS('Gamma Data'!A149-$J$6)&lt;$J$28),"",(ABS('Gamma Data'!B149)+ABS('Gamma Data'!C149))/MAX(ABS('Gamma Data'!A149-$J$6)/($J$6*0.005),1)+ROW()/1000000000)))</f>
        <v/>
      </c>
    </row>
    <row r="150" ht="15" customHeight="1" s="35">
      <c r="A150" s="3">
        <f>IF('Gamma Data'!A150="","",'Gamma Data'!A150)</f>
        <v/>
      </c>
      <c r="B150" s="3">
        <f>IF(A150="","",'Gamma Data'!B150-'Gamma Data'!C150)</f>
        <v/>
      </c>
      <c r="C150" s="3">
        <f>IF(A150="","",ABS('Gamma Data'!B150)+ABS('Gamma Data'!C150))</f>
        <v/>
      </c>
      <c r="D150" s="4">
        <f>IF(A150="","",IF(C150=0,"-",IF(AND('Gamma Data'!B150&gt;0,'Gamma Data'!B150&gt;='Gamma Data'!C150*1.5),"Call Wall",IF(AND('Gamma Data'!C150&gt;0,'Gamma Data'!C150&gt;='Gamma Data'!B150*1.5),"Put Wall","(mixed)"))))</f>
        <v/>
      </c>
      <c r="E150" s="5">
        <f>IF(OR(A150="",$J$12=0),"",C150/$J$12)</f>
        <v/>
      </c>
      <c r="F150" s="4">
        <f>IF(A150="","",IF(C150&gt;=2*$J$12,"จุดหนืด",IF(C150&lt;=0.5*$J$12,"air pocket","")))</f>
        <v/>
      </c>
      <c r="H150" s="6">
        <f>IF(AND(A150&gt;=$J$6,'Gamma Data'!B150&gt;0,'Gamma Data'!B150&gt;='Gamma Data'!C150*1.5),'Gamma Data'!B150,0)</f>
        <v/>
      </c>
      <c r="AB150">
        <f>IF(NOT(ISNUMBER('Gamma Data'!A150)),"",IF((ABS('Gamma Data'!B150)+ABS('Gamma Data'!C150))=0,"",IF(OR(ABS('Gamma Data'!A150-$J$6)&gt;$J$6*$J$26,ABS('Gamma Data'!A150-$J$6)&lt;$J$28),"",(ABS('Gamma Data'!B150)+ABS('Gamma Data'!C150))/MAX(ABS('Gamma Data'!A150-$J$6)/($J$6*0.005),1)+ROW()/1000000000)))</f>
        <v/>
      </c>
    </row>
    <row r="151" ht="15" customHeight="1" s="35">
      <c r="A151" s="3">
        <f>IF('Gamma Data'!A151="","",'Gamma Data'!A151)</f>
        <v/>
      </c>
      <c r="B151" s="3">
        <f>IF(A151="","",'Gamma Data'!B151-'Gamma Data'!C151)</f>
        <v/>
      </c>
      <c r="C151" s="3">
        <f>IF(A151="","",ABS('Gamma Data'!B151)+ABS('Gamma Data'!C151))</f>
        <v/>
      </c>
      <c r="D151" s="4">
        <f>IF(A151="","",IF(C151=0,"-",IF(AND('Gamma Data'!B151&gt;0,'Gamma Data'!B151&gt;='Gamma Data'!C151*1.5),"Call Wall",IF(AND('Gamma Data'!C151&gt;0,'Gamma Data'!C151&gt;='Gamma Data'!B151*1.5),"Put Wall","(mixed)"))))</f>
        <v/>
      </c>
      <c r="E151" s="5">
        <f>IF(OR(A151="",$J$12=0),"",C151/$J$12)</f>
        <v/>
      </c>
      <c r="F151" s="4">
        <f>IF(A151="","",IF(C151&gt;=2*$J$12,"จุดหนืด",IF(C151&lt;=0.5*$J$12,"air pocket","")))</f>
        <v/>
      </c>
      <c r="H151" s="6">
        <f>IF(AND(A151&gt;=$J$6,'Gamma Data'!B151&gt;0,'Gamma Data'!B151&gt;='Gamma Data'!C151*1.5),'Gamma Data'!B151,0)</f>
        <v/>
      </c>
      <c r="AB151">
        <f>IF(NOT(ISNUMBER('Gamma Data'!A151)),"",IF((ABS('Gamma Data'!B151)+ABS('Gamma Data'!C151))=0,"",IF(OR(ABS('Gamma Data'!A151-$J$6)&gt;$J$6*$J$26,ABS('Gamma Data'!A151-$J$6)&lt;$J$28),"",(ABS('Gamma Data'!B151)+ABS('Gamma Data'!C151))/MAX(ABS('Gamma Data'!A151-$J$6)/($J$6*0.005),1)+ROW()/1000000000)))</f>
        <v/>
      </c>
    </row>
    <row r="152" ht="15" customHeight="1" s="35">
      <c r="A152" s="3">
        <f>IF('Gamma Data'!A152="","",'Gamma Data'!A152)</f>
        <v/>
      </c>
      <c r="B152" s="3">
        <f>IF(A152="","",'Gamma Data'!B152-'Gamma Data'!C152)</f>
        <v/>
      </c>
      <c r="C152" s="3">
        <f>IF(A152="","",ABS('Gamma Data'!B152)+ABS('Gamma Data'!C152))</f>
        <v/>
      </c>
      <c r="D152" s="4">
        <f>IF(A152="","",IF(C152=0,"-",IF(AND('Gamma Data'!B152&gt;0,'Gamma Data'!B152&gt;='Gamma Data'!C152*1.5),"Call Wall",IF(AND('Gamma Data'!C152&gt;0,'Gamma Data'!C152&gt;='Gamma Data'!B152*1.5),"Put Wall","(mixed)"))))</f>
        <v/>
      </c>
      <c r="E152" s="5">
        <f>IF(OR(A152="",$J$12=0),"",C152/$J$12)</f>
        <v/>
      </c>
      <c r="F152" s="4">
        <f>IF(A152="","",IF(C152&gt;=2*$J$12,"จุดหนืด",IF(C152&lt;=0.5*$J$12,"air pocket","")))</f>
        <v/>
      </c>
      <c r="H152" s="6">
        <f>IF(AND(A152&gt;=$J$6,'Gamma Data'!B152&gt;0,'Gamma Data'!B152&gt;='Gamma Data'!C152*1.5),'Gamma Data'!B152,0)</f>
        <v/>
      </c>
      <c r="AB152">
        <f>IF(NOT(ISNUMBER('Gamma Data'!A152)),"",IF((ABS('Gamma Data'!B152)+ABS('Gamma Data'!C152))=0,"",IF(OR(ABS('Gamma Data'!A152-$J$6)&gt;$J$6*$J$26,ABS('Gamma Data'!A152-$J$6)&lt;$J$28),"",(ABS('Gamma Data'!B152)+ABS('Gamma Data'!C152))/MAX(ABS('Gamma Data'!A152-$J$6)/($J$6*0.005),1)+ROW()/1000000000)))</f>
        <v/>
      </c>
    </row>
  </sheetData>
  <conditionalFormatting sqref="B2:B152">
    <cfRule type="cellIs" priority="2" operator="greaterThan" dxfId="1">
      <formula>0</formula>
    </cfRule>
    <cfRule type="cellIs" priority="3" operator="lessThan" dxfId="0">
      <formula>0</formula>
    </cfRule>
  </conditionalFormatting>
  <conditionalFormatting sqref="C2:C152">
    <cfRule type="colorScale" priority="4">
      <colorScale>
        <cfvo type="min"/>
        <cfvo type="max"/>
        <color rgb="FFFFFFFF"/>
        <color rgb="FFFFA500"/>
      </colorScale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3" customWidth="1" style="35" min="1" max="1"/>
    <col width="12" customWidth="1" style="35" min="2" max="2"/>
    <col width="11" customWidth="1" style="35" min="3" max="3"/>
    <col width="14" customWidth="1" style="35" min="4" max="5"/>
    <col width="22" customWidth="1" style="35" min="6" max="6"/>
    <col width="3" customWidth="1" style="35" min="7" max="7"/>
    <col width="26" customWidth="1" style="35" min="8" max="8"/>
    <col width="14" customWidth="1" style="35" min="9" max="9"/>
    <col width="15" customWidth="1" style="35" min="10" max="11"/>
  </cols>
  <sheetData>
    <row r="1" ht="31.5" customHeight="1" s="35">
      <c r="A1" s="1" t="inlineStr">
        <is>
          <t>วันที่</t>
        </is>
      </c>
      <c r="B1" s="1" t="inlineStr">
        <is>
          <t>โหมด GEX</t>
        </is>
      </c>
      <c r="C1" s="1" t="inlineStr">
        <is>
          <t>ทิศทั้งวัน</t>
        </is>
      </c>
      <c r="D1" s="1" t="inlineStr">
        <is>
          <t>ทิศ 30 นาทีสุดท้าย</t>
        </is>
      </c>
      <c r="E1" s="1" t="inlineStr">
        <is>
          <t>ไปทางเดียวกัน?</t>
        </is>
      </c>
      <c r="F1" s="1" t="inlineStr">
        <is>
          <t>หมายเหตุ</t>
        </is>
      </c>
      <c r="H1" s="7" t="inlineStr">
        <is>
          <t>── โหมดวันนี้ (จาก Gamma Data) ──</t>
        </is>
      </c>
    </row>
    <row r="2" ht="15" customHeight="1" s="35">
      <c r="A2" s="23" t="n"/>
      <c r="B2" s="11" t="n"/>
      <c r="C2" s="11" t="n"/>
      <c r="D2" s="11" t="n"/>
      <c r="E2" s="4">
        <f>IF(OR(B2="",C2="",D2=""),"",IF(C2=D2,"ใช่","ไม่"))</f>
        <v/>
      </c>
      <c r="F2" s="4" t="n"/>
      <c r="H2" s="7" t="inlineStr">
        <is>
          <t>โหมด GEX</t>
        </is>
      </c>
      <c r="I2" s="7">
        <f>IF(I3="","",IF(I3&lt;0.05,"สมดุล",IF((SUM('Gamma Data'!$B$2:$B$152)-SUM('Gamma Data'!$C$2:$C$152))&gt;0,"บวก","ลบ")))</f>
        <v/>
      </c>
    </row>
    <row r="3" ht="15" customHeight="1" s="35">
      <c r="A3" s="23" t="n"/>
      <c r="B3" s="11" t="n"/>
      <c r="C3" s="11" t="n"/>
      <c r="D3" s="11" t="n"/>
      <c r="E3" s="4">
        <f>IF(OR(B3="",C3="",D3=""),"",IF(C3=D3,"ใช่","ไม่"))</f>
        <v/>
      </c>
      <c r="F3" s="4" t="n"/>
      <c r="H3" s="7" t="inlineStr">
        <is>
          <t>Conviction</t>
        </is>
      </c>
      <c r="I3" s="24">
        <f>IF(SUMPRODUCT(ABS('Gamma Data'!$B$2:$B$152-'Gamma Data'!$C$2:$C$152))=0,"",ABS((SUM('Gamma Data'!$B$2:$B$152)-SUM('Gamma Data'!$C$2:$C$152)))/SUMPRODUCT(ABS('Gamma Data'!$B$2:$B$152-'Gamma Data'!$C$2:$C$152)))</f>
        <v/>
      </c>
    </row>
    <row r="4" ht="15" customHeight="1" s="35">
      <c r="A4" s="23" t="n"/>
      <c r="B4" s="11" t="n"/>
      <c r="C4" s="11" t="n"/>
      <c r="D4" s="11" t="n"/>
      <c r="E4" s="4">
        <f>IF(OR(B4="",C4="",D4=""),"",IF(C4=D4,"ใช่","ไม่"))</f>
        <v/>
      </c>
      <c r="F4" s="4" t="n"/>
    </row>
    <row r="5" ht="15" customHeight="1" s="35">
      <c r="A5" s="23" t="n"/>
      <c r="B5" s="11" t="n"/>
      <c r="C5" s="11" t="n"/>
      <c r="D5" s="11" t="n"/>
      <c r="E5" s="4">
        <f>IF(OR(B5="",C5="",D5=""),"",IF(C5=D5,"ใช่","ไม่"))</f>
        <v/>
      </c>
      <c r="F5" s="4" t="n"/>
      <c r="H5" s="7" t="inlineStr">
        <is>
          <t>── ผลสะสม ──</t>
        </is>
      </c>
    </row>
    <row r="6" ht="31.5" customHeight="1" s="35">
      <c r="A6" s="23" t="n"/>
      <c r="B6" s="11" t="n"/>
      <c r="C6" s="11" t="n"/>
      <c r="D6" s="11" t="n"/>
      <c r="E6" s="4">
        <f>IF(OR(B6="",C6="",D6=""),"",IF(C6=D6,"ใช่","ไม่"))</f>
        <v/>
      </c>
      <c r="F6" s="4" t="n"/>
      <c r="H6" s="1" t="inlineStr">
        <is>
          <t>โหมด</t>
        </is>
      </c>
      <c r="I6" s="1" t="inlineStr">
        <is>
          <t>จำนวนวัน</t>
        </is>
      </c>
      <c r="J6" s="1" t="inlineStr">
        <is>
          <t>ไปทางเดียวกัน</t>
        </is>
      </c>
      <c r="K6" s="1" t="inlineStr">
        <is>
          <t>% ไปทางเดียวกัน</t>
        </is>
      </c>
    </row>
    <row r="7" ht="15" customHeight="1" s="35">
      <c r="A7" s="23" t="n"/>
      <c r="B7" s="11" t="n"/>
      <c r="C7" s="11" t="n"/>
      <c r="D7" s="11" t="n"/>
      <c r="E7" s="4">
        <f>IF(OR(B7="",C7="",D7=""),"",IF(C7=D7,"ใช่","ไม่"))</f>
        <v/>
      </c>
      <c r="F7" s="4" t="n"/>
      <c r="H7" s="7" t="inlineStr">
        <is>
          <t>บวก</t>
        </is>
      </c>
      <c r="I7" s="21">
        <f>COUNTIFS($B$2:$B$401,H7,$E$2:$E$401,"?*")</f>
        <v/>
      </c>
      <c r="J7" s="21">
        <f>COUNTIFS($B$2:$B$401,H7,$E$2:$E$401,"ใช่")</f>
        <v/>
      </c>
      <c r="K7" s="24">
        <f>IF(I7=0,"",J7/I7)</f>
        <v/>
      </c>
    </row>
    <row r="8" ht="15" customHeight="1" s="35">
      <c r="A8" s="23" t="n"/>
      <c r="B8" s="11" t="n"/>
      <c r="C8" s="11" t="n"/>
      <c r="D8" s="11" t="n"/>
      <c r="E8" s="4">
        <f>IF(OR(B8="",C8="",D8=""),"",IF(C8=D8,"ใช่","ไม่"))</f>
        <v/>
      </c>
      <c r="F8" s="4" t="n"/>
      <c r="H8" s="7" t="inlineStr">
        <is>
          <t>ลบ</t>
        </is>
      </c>
      <c r="I8" s="21">
        <f>COUNTIFS($B$2:$B$401,H8,$E$2:$E$401,"?*")</f>
        <v/>
      </c>
      <c r="J8" s="21">
        <f>COUNTIFS($B$2:$B$401,H8,$E$2:$E$401,"ใช่")</f>
        <v/>
      </c>
      <c r="K8" s="24">
        <f>IF(I8=0,"",J8/I8)</f>
        <v/>
      </c>
    </row>
    <row r="9" ht="15" customHeight="1" s="35">
      <c r="A9" s="23" t="n"/>
      <c r="B9" s="11" t="n"/>
      <c r="C9" s="11" t="n"/>
      <c r="D9" s="11" t="n"/>
      <c r="E9" s="4">
        <f>IF(OR(B9="",C9="",D9=""),"",IF(C9=D9,"ใช่","ไม่"))</f>
        <v/>
      </c>
      <c r="F9" s="4" t="n"/>
      <c r="H9" s="7" t="inlineStr">
        <is>
          <t>สมดุล</t>
        </is>
      </c>
      <c r="I9" s="21">
        <f>COUNTIFS($B$2:$B$401,H9,$E$2:$E$401,"?*")</f>
        <v/>
      </c>
      <c r="J9" s="21">
        <f>COUNTIFS($B$2:$B$401,H9,$E$2:$E$401,"ใช่")</f>
        <v/>
      </c>
      <c r="K9" s="24">
        <f>IF(I9=0,"",J9/I9)</f>
        <v/>
      </c>
    </row>
    <row r="10" ht="15" customHeight="1" s="35">
      <c r="A10" s="23" t="n"/>
      <c r="B10" s="11" t="n"/>
      <c r="C10" s="11" t="n"/>
      <c r="D10" s="11" t="n"/>
      <c r="E10" s="4">
        <f>IF(OR(B10="",C10="",D10=""),"",IF(C10=D10,"ใช่","ไม่"))</f>
        <v/>
      </c>
      <c r="F10" s="4" t="n"/>
      <c r="H10" s="7" t="inlineStr">
        <is>
          <t>รวม</t>
        </is>
      </c>
      <c r="I10" s="21">
        <f>SUM(I7:I9)</f>
        <v/>
      </c>
      <c r="J10" s="21">
        <f>SUM(J7:J9)</f>
        <v/>
      </c>
      <c r="K10" s="24">
        <f>IF(I10=0,"",J10/I10)</f>
        <v/>
      </c>
    </row>
    <row r="11" ht="15" customHeight="1" s="35">
      <c r="A11" s="23" t="n"/>
      <c r="B11" s="11" t="n"/>
      <c r="C11" s="11" t="n"/>
      <c r="D11" s="11" t="n"/>
      <c r="E11" s="4">
        <f>IF(OR(B11="",C11="",D11=""),"",IF(C11=D11,"ใช่","ไม่"))</f>
        <v/>
      </c>
      <c r="F11" s="4" t="n"/>
    </row>
    <row r="12" ht="15" customHeight="1" s="35">
      <c r="A12" s="23" t="n"/>
      <c r="B12" s="11" t="n"/>
      <c r="C12" s="11" t="n"/>
      <c r="D12" s="11" t="n"/>
      <c r="E12" s="4">
        <f>IF(OR(B12="",C12="",D12=""),"",IF(C12=D12,"ใช่","ไม่"))</f>
        <v/>
      </c>
      <c r="F12" s="4" t="n"/>
      <c r="H12" s="7" t="inlineStr">
        <is>
          <t>ลบ − บวก</t>
        </is>
      </c>
      <c r="I12" s="25">
        <f>IF(OR(K7="",K8=""),"",K8-K7)</f>
        <v/>
      </c>
    </row>
    <row r="13" ht="15" customHeight="1" s="35">
      <c r="A13" s="23" t="n"/>
      <c r="B13" s="11" t="n"/>
      <c r="C13" s="11" t="n"/>
      <c r="D13" s="11" t="n"/>
      <c r="E13" s="4">
        <f>IF(OR(B13="",C13="",D13=""),"",IF(C13=D13,"ใช่","ไม่"))</f>
        <v/>
      </c>
      <c r="F13" s="4" t="n"/>
      <c r="H13" s="7" t="inlineStr">
        <is>
          <t>ค่า z</t>
        </is>
      </c>
      <c r="I13" s="26">
        <f>IF(OR(I7&lt;30,I8&lt;30),"",IF(SQRT(((J7+J8)/(I7+I8))*(1-((J7+J8)/(I7+I8)))*(1/I7+1/I8))=0,"",(K8-K7)/SQRT(((J7+J8)/(I7+I8))*(1-((J7+J8)/(I7+I8)))*(1/I7+1/I8))))</f>
        <v/>
      </c>
    </row>
    <row r="14" ht="15" customHeight="1" s="35">
      <c r="A14" s="23" t="n"/>
      <c r="B14" s="11" t="n"/>
      <c r="C14" s="11" t="n"/>
      <c r="D14" s="11" t="n"/>
      <c r="E14" s="4">
        <f>IF(OR(B14="",C14="",D14=""),"",IF(C14=D14,"ใช่","ไม่"))</f>
        <v/>
      </c>
      <c r="F14" s="4" t="n"/>
      <c r="H14" s="7" t="inlineStr">
        <is>
          <t>อ่านผล</t>
        </is>
      </c>
      <c r="I14" s="7">
        <f>IF(OR(I7&lt;30,I8&lt;30),"ข้อมูลยังน้อย - ต้องมีโหมดละ 30 วัน (บวก "&amp;I7&amp;" / ลบ "&amp;I8&amp;")",IF(I13="","",IF(I13&gt;=1.96,"โหมดลบไปทางเดียวกันบ่อยกว่าชัดเจน - ตรงกับ Baltussen",IF(I13&lt;=-1.96,"กลับด้านกับ Baltussen - โหมดบวกไปทางเดียวกันบ่อยกว่า","ยังแยกจากความบังเอิญไม่ได้"))))</f>
        <v/>
      </c>
    </row>
    <row r="15" ht="15" customHeight="1" s="35">
      <c r="A15" s="23" t="n"/>
      <c r="B15" s="11" t="n"/>
      <c r="C15" s="11" t="n"/>
      <c r="D15" s="11" t="n"/>
      <c r="E15" s="4">
        <f>IF(OR(B15="",C15="",D15=""),"",IF(C15=D15,"ใช่","ไม่"))</f>
        <v/>
      </c>
      <c r="F15" s="4" t="n"/>
    </row>
    <row r="16" ht="15" customHeight="1" s="35">
      <c r="A16" s="23" t="n"/>
      <c r="B16" s="11" t="n"/>
      <c r="C16" s="11" t="n"/>
      <c r="D16" s="11" t="n"/>
      <c r="E16" s="4">
        <f>IF(OR(B16="",C16="",D16=""),"",IF(C16=D16,"ใช่","ไม่"))</f>
        <v/>
      </c>
      <c r="F16" s="4" t="n"/>
      <c r="H16" s="31" t="inlineStr">
        <is>
          <t>วิธีกรอก: วันละ 1 แถว เลือกช่องเหลือง B-D จาก dropdown · โหมด = ค่าที่ช่อง I2 จากข้อมูล GEX ที่มีตอนก่อนเทรดวันนั้น · ทิศทั้งวัน = จากราคา settlement เมื่อวาน ถึง 30 นาทีก่อน settlement วันนี้ · 30 นาทีสุดท้าย = 13:00-13:30 เวลานิวยอร์ก (ราว 00:00-00:30 น. เวลาไทยช่วง DST / 01:00-01:30 น. ช่วงหน้าหนาว) · วันที่ราคาแทบไม่ขยับให้เว้นแถว · ถ้าไม่มีผลอะไร ทุกโหมดควรได้ราว 50% · ที่มา: Baltussen et al. พบในทองคำ (GC) ว่าราคาทั้งวันทำนายทิศ 30 นาทีสุดท้ายได้ และใน S&amp;P พบโมเมนตัมเฉพาะวัน gamma ลบ · เกณฑ์: z 1.96 = ความเชื่อมั่น 95% แบบสองทาง (มาตรฐานสถิติ) · 30 วันต่อโหมด = กฎทั่วไป · conviction 5% = เกณฑ์เดิมของไฟล์ (ตั้งเอง)</t>
        </is>
      </c>
      <c r="I16" s="32" t="n"/>
      <c r="J16" s="32" t="n"/>
      <c r="K16" s="33" t="n"/>
    </row>
    <row r="17" ht="15" customHeight="1" s="35">
      <c r="A17" s="23" t="n"/>
      <c r="B17" s="11" t="n"/>
      <c r="C17" s="11" t="n"/>
      <c r="D17" s="11" t="n"/>
      <c r="E17" s="4">
        <f>IF(OR(B17="",C17="",D17=""),"",IF(C17=D17,"ใช่","ไม่"))</f>
        <v/>
      </c>
      <c r="F17" s="4" t="n"/>
      <c r="H17" s="34" t="n"/>
      <c r="K17" s="36" t="n"/>
    </row>
    <row r="18" ht="15" customHeight="1" s="35">
      <c r="A18" s="23" t="n"/>
      <c r="B18" s="11" t="n"/>
      <c r="C18" s="11" t="n"/>
      <c r="D18" s="11" t="n"/>
      <c r="E18" s="4">
        <f>IF(OR(B18="",C18="",D18=""),"",IF(C18=D18,"ใช่","ไม่"))</f>
        <v/>
      </c>
      <c r="F18" s="4" t="n"/>
      <c r="H18" s="34" t="n"/>
      <c r="K18" s="36" t="n"/>
    </row>
    <row r="19" ht="15" customHeight="1" s="35">
      <c r="A19" s="23" t="n"/>
      <c r="B19" s="11" t="n"/>
      <c r="C19" s="11" t="n"/>
      <c r="D19" s="11" t="n"/>
      <c r="E19" s="4">
        <f>IF(OR(B19="",C19="",D19=""),"",IF(C19=D19,"ใช่","ไม่"))</f>
        <v/>
      </c>
      <c r="F19" s="4" t="n"/>
      <c r="H19" s="34" t="n"/>
      <c r="K19" s="36" t="n"/>
    </row>
    <row r="20" ht="15" customHeight="1" s="35">
      <c r="A20" s="23" t="n"/>
      <c r="B20" s="11" t="n"/>
      <c r="C20" s="11" t="n"/>
      <c r="D20" s="11" t="n"/>
      <c r="E20" s="4">
        <f>IF(OR(B20="",C20="",D20=""),"",IF(C20=D20,"ใช่","ไม่"))</f>
        <v/>
      </c>
      <c r="F20" s="4" t="n"/>
      <c r="H20" s="34" t="n"/>
      <c r="K20" s="36" t="n"/>
    </row>
    <row r="21" ht="15" customHeight="1" s="35">
      <c r="A21" s="23" t="n"/>
      <c r="B21" s="11" t="n"/>
      <c r="C21" s="11" t="n"/>
      <c r="D21" s="11" t="n"/>
      <c r="E21" s="4">
        <f>IF(OR(B21="",C21="",D21=""),"",IF(C21=D21,"ใช่","ไม่"))</f>
        <v/>
      </c>
      <c r="F21" s="4" t="n"/>
      <c r="H21" s="34" t="n"/>
      <c r="K21" s="36" t="n"/>
    </row>
    <row r="22" ht="15" customHeight="1" s="35">
      <c r="A22" s="23" t="n"/>
      <c r="B22" s="11" t="n"/>
      <c r="C22" s="11" t="n"/>
      <c r="D22" s="11" t="n"/>
      <c r="E22" s="4">
        <f>IF(OR(B22="",C22="",D22=""),"",IF(C22=D22,"ใช่","ไม่"))</f>
        <v/>
      </c>
      <c r="F22" s="4" t="n"/>
      <c r="H22" s="34" t="n"/>
      <c r="K22" s="36" t="n"/>
    </row>
    <row r="23" ht="15" customHeight="1" s="35">
      <c r="A23" s="23" t="n"/>
      <c r="B23" s="11" t="n"/>
      <c r="C23" s="11" t="n"/>
      <c r="D23" s="11" t="n"/>
      <c r="E23" s="4">
        <f>IF(OR(B23="",C23="",D23=""),"",IF(C23=D23,"ใช่","ไม่"))</f>
        <v/>
      </c>
      <c r="F23" s="4" t="n"/>
      <c r="H23" s="34" t="n"/>
      <c r="K23" s="36" t="n"/>
    </row>
    <row r="24" ht="15" customHeight="1" s="35">
      <c r="A24" s="23" t="n"/>
      <c r="B24" s="11" t="n"/>
      <c r="C24" s="11" t="n"/>
      <c r="D24" s="11" t="n"/>
      <c r="E24" s="4">
        <f>IF(OR(B24="",C24="",D24=""),"",IF(C24=D24,"ใช่","ไม่"))</f>
        <v/>
      </c>
      <c r="F24" s="4" t="n"/>
      <c r="H24" s="34" t="n"/>
      <c r="K24" s="36" t="n"/>
    </row>
    <row r="25" ht="15" customHeight="1" s="35">
      <c r="A25" s="23" t="n"/>
      <c r="B25" s="11" t="n"/>
      <c r="C25" s="11" t="n"/>
      <c r="D25" s="11" t="n"/>
      <c r="E25" s="4">
        <f>IF(OR(B25="",C25="",D25=""),"",IF(C25=D25,"ใช่","ไม่"))</f>
        <v/>
      </c>
      <c r="F25" s="4" t="n"/>
      <c r="H25" s="34" t="n"/>
      <c r="K25" s="36" t="n"/>
    </row>
    <row r="26" ht="15" customHeight="1" s="35">
      <c r="A26" s="23" t="n"/>
      <c r="B26" s="11" t="n"/>
      <c r="C26" s="11" t="n"/>
      <c r="D26" s="11" t="n"/>
      <c r="E26" s="4">
        <f>IF(OR(B26="",C26="",D26=""),"",IF(C26=D26,"ใช่","ไม่"))</f>
        <v/>
      </c>
      <c r="F26" s="4" t="n"/>
      <c r="H26" s="34" t="n"/>
      <c r="K26" s="36" t="n"/>
    </row>
    <row r="27" ht="15" customHeight="1" s="35">
      <c r="A27" s="23" t="n"/>
      <c r="B27" s="11" t="n"/>
      <c r="C27" s="11" t="n"/>
      <c r="D27" s="11" t="n"/>
      <c r="E27" s="4">
        <f>IF(OR(B27="",C27="",D27=""),"",IF(C27=D27,"ใช่","ไม่"))</f>
        <v/>
      </c>
      <c r="F27" s="4" t="n"/>
      <c r="H27" s="37" t="n"/>
      <c r="I27" s="38" t="n"/>
      <c r="J27" s="38" t="n"/>
      <c r="K27" s="39" t="n"/>
    </row>
    <row r="28" ht="15" customHeight="1" s="35">
      <c r="A28" s="23" t="n"/>
      <c r="B28" s="11" t="n"/>
      <c r="C28" s="11" t="n"/>
      <c r="D28" s="11" t="n"/>
      <c r="E28" s="4">
        <f>IF(OR(B28="",C28="",D28=""),"",IF(C28=D28,"ใช่","ไม่"))</f>
        <v/>
      </c>
      <c r="F28" s="4" t="n"/>
    </row>
    <row r="29" ht="15" customHeight="1" s="35">
      <c r="A29" s="23" t="n"/>
      <c r="B29" s="11" t="n"/>
      <c r="C29" s="11" t="n"/>
      <c r="D29" s="11" t="n"/>
      <c r="E29" s="4">
        <f>IF(OR(B29="",C29="",D29=""),"",IF(C29=D29,"ใช่","ไม่"))</f>
        <v/>
      </c>
      <c r="F29" s="4" t="n"/>
    </row>
    <row r="30" ht="15" customHeight="1" s="35">
      <c r="A30" s="23" t="n"/>
      <c r="B30" s="11" t="n"/>
      <c r="C30" s="11" t="n"/>
      <c r="D30" s="11" t="n"/>
      <c r="E30" s="4">
        <f>IF(OR(B30="",C30="",D30=""),"",IF(C30=D30,"ใช่","ไม่"))</f>
        <v/>
      </c>
      <c r="F30" s="4" t="n"/>
    </row>
    <row r="31" ht="15" customHeight="1" s="35">
      <c r="A31" s="23" t="n"/>
      <c r="B31" s="11" t="n"/>
      <c r="C31" s="11" t="n"/>
      <c r="D31" s="11" t="n"/>
      <c r="E31" s="4">
        <f>IF(OR(B31="",C31="",D31=""),"",IF(C31=D31,"ใช่","ไม่"))</f>
        <v/>
      </c>
      <c r="F31" s="4" t="n"/>
    </row>
    <row r="32" ht="15" customHeight="1" s="35">
      <c r="A32" s="23" t="n"/>
      <c r="B32" s="11" t="n"/>
      <c r="C32" s="11" t="n"/>
      <c r="D32" s="11" t="n"/>
      <c r="E32" s="4">
        <f>IF(OR(B32="",C32="",D32=""),"",IF(C32=D32,"ใช่","ไม่"))</f>
        <v/>
      </c>
      <c r="F32" s="4" t="n"/>
    </row>
    <row r="33" ht="15" customHeight="1" s="35">
      <c r="A33" s="23" t="n"/>
      <c r="B33" s="11" t="n"/>
      <c r="C33" s="11" t="n"/>
      <c r="D33" s="11" t="n"/>
      <c r="E33" s="4">
        <f>IF(OR(B33="",C33="",D33=""),"",IF(C33=D33,"ใช่","ไม่"))</f>
        <v/>
      </c>
      <c r="F33" s="4" t="n"/>
    </row>
    <row r="34" ht="15" customHeight="1" s="35">
      <c r="A34" s="23" t="n"/>
      <c r="B34" s="11" t="n"/>
      <c r="C34" s="11" t="n"/>
      <c r="D34" s="11" t="n"/>
      <c r="E34" s="4">
        <f>IF(OR(B34="",C34="",D34=""),"",IF(C34=D34,"ใช่","ไม่"))</f>
        <v/>
      </c>
      <c r="F34" s="4" t="n"/>
    </row>
    <row r="35" ht="15" customHeight="1" s="35">
      <c r="A35" s="23" t="n"/>
      <c r="B35" s="11" t="n"/>
      <c r="C35" s="11" t="n"/>
      <c r="D35" s="11" t="n"/>
      <c r="E35" s="4">
        <f>IF(OR(B35="",C35="",D35=""),"",IF(C35=D35,"ใช่","ไม่"))</f>
        <v/>
      </c>
      <c r="F35" s="4" t="n"/>
    </row>
    <row r="36" ht="15" customHeight="1" s="35">
      <c r="A36" s="23" t="n"/>
      <c r="B36" s="11" t="n"/>
      <c r="C36" s="11" t="n"/>
      <c r="D36" s="11" t="n"/>
      <c r="E36" s="4">
        <f>IF(OR(B36="",C36="",D36=""),"",IF(C36=D36,"ใช่","ไม่"))</f>
        <v/>
      </c>
      <c r="F36" s="4" t="n"/>
    </row>
    <row r="37" ht="15" customHeight="1" s="35">
      <c r="A37" s="23" t="n"/>
      <c r="B37" s="11" t="n"/>
      <c r="C37" s="11" t="n"/>
      <c r="D37" s="11" t="n"/>
      <c r="E37" s="4">
        <f>IF(OR(B37="",C37="",D37=""),"",IF(C37=D37,"ใช่","ไม่"))</f>
        <v/>
      </c>
      <c r="F37" s="4" t="n"/>
    </row>
    <row r="38" ht="15" customHeight="1" s="35">
      <c r="A38" s="23" t="n"/>
      <c r="B38" s="11" t="n"/>
      <c r="C38" s="11" t="n"/>
      <c r="D38" s="11" t="n"/>
      <c r="E38" s="4">
        <f>IF(OR(B38="",C38="",D38=""),"",IF(C38=D38,"ใช่","ไม่"))</f>
        <v/>
      </c>
      <c r="F38" s="4" t="n"/>
    </row>
    <row r="39" ht="15" customHeight="1" s="35">
      <c r="A39" s="23" t="n"/>
      <c r="B39" s="11" t="n"/>
      <c r="C39" s="11" t="n"/>
      <c r="D39" s="11" t="n"/>
      <c r="E39" s="4">
        <f>IF(OR(B39="",C39="",D39=""),"",IF(C39=D39,"ใช่","ไม่"))</f>
        <v/>
      </c>
      <c r="F39" s="4" t="n"/>
    </row>
    <row r="40" ht="15" customHeight="1" s="35">
      <c r="A40" s="23" t="n"/>
      <c r="B40" s="11" t="n"/>
      <c r="C40" s="11" t="n"/>
      <c r="D40" s="11" t="n"/>
      <c r="E40" s="4">
        <f>IF(OR(B40="",C40="",D40=""),"",IF(C40=D40,"ใช่","ไม่"))</f>
        <v/>
      </c>
      <c r="F40" s="4" t="n"/>
    </row>
    <row r="41" ht="15" customHeight="1" s="35">
      <c r="A41" s="23" t="n"/>
      <c r="B41" s="11" t="n"/>
      <c r="C41" s="11" t="n"/>
      <c r="D41" s="11" t="n"/>
      <c r="E41" s="4">
        <f>IF(OR(B41="",C41="",D41=""),"",IF(C41=D41,"ใช่","ไม่"))</f>
        <v/>
      </c>
      <c r="F41" s="4" t="n"/>
    </row>
    <row r="42" ht="15" customHeight="1" s="35">
      <c r="A42" s="23" t="n"/>
      <c r="B42" s="11" t="n"/>
      <c r="C42" s="11" t="n"/>
      <c r="D42" s="11" t="n"/>
      <c r="E42" s="4">
        <f>IF(OR(B42="",C42="",D42=""),"",IF(C42=D42,"ใช่","ไม่"))</f>
        <v/>
      </c>
      <c r="F42" s="4" t="n"/>
    </row>
    <row r="43" ht="15" customHeight="1" s="35">
      <c r="A43" s="23" t="n"/>
      <c r="B43" s="11" t="n"/>
      <c r="C43" s="11" t="n"/>
      <c r="D43" s="11" t="n"/>
      <c r="E43" s="4">
        <f>IF(OR(B43="",C43="",D43=""),"",IF(C43=D43,"ใช่","ไม่"))</f>
        <v/>
      </c>
      <c r="F43" s="4" t="n"/>
    </row>
    <row r="44" ht="15" customHeight="1" s="35">
      <c r="A44" s="23" t="n"/>
      <c r="B44" s="11" t="n"/>
      <c r="C44" s="11" t="n"/>
      <c r="D44" s="11" t="n"/>
      <c r="E44" s="4">
        <f>IF(OR(B44="",C44="",D44=""),"",IF(C44=D44,"ใช่","ไม่"))</f>
        <v/>
      </c>
      <c r="F44" s="4" t="n"/>
    </row>
    <row r="45" ht="15" customHeight="1" s="35">
      <c r="A45" s="23" t="n"/>
      <c r="B45" s="11" t="n"/>
      <c r="C45" s="11" t="n"/>
      <c r="D45" s="11" t="n"/>
      <c r="E45" s="4">
        <f>IF(OR(B45="",C45="",D45=""),"",IF(C45=D45,"ใช่","ไม่"))</f>
        <v/>
      </c>
      <c r="F45" s="4" t="n"/>
    </row>
    <row r="46" ht="15" customHeight="1" s="35">
      <c r="A46" s="23" t="n"/>
      <c r="B46" s="11" t="n"/>
      <c r="C46" s="11" t="n"/>
      <c r="D46" s="11" t="n"/>
      <c r="E46" s="4">
        <f>IF(OR(B46="",C46="",D46=""),"",IF(C46=D46,"ใช่","ไม่"))</f>
        <v/>
      </c>
      <c r="F46" s="4" t="n"/>
    </row>
    <row r="47" ht="15" customHeight="1" s="35">
      <c r="A47" s="23" t="n"/>
      <c r="B47" s="11" t="n"/>
      <c r="C47" s="11" t="n"/>
      <c r="D47" s="11" t="n"/>
      <c r="E47" s="4">
        <f>IF(OR(B47="",C47="",D47=""),"",IF(C47=D47,"ใช่","ไม่"))</f>
        <v/>
      </c>
      <c r="F47" s="4" t="n"/>
    </row>
    <row r="48" ht="15" customHeight="1" s="35">
      <c r="A48" s="23" t="n"/>
      <c r="B48" s="11" t="n"/>
      <c r="C48" s="11" t="n"/>
      <c r="D48" s="11" t="n"/>
      <c r="E48" s="4">
        <f>IF(OR(B48="",C48="",D48=""),"",IF(C48=D48,"ใช่","ไม่"))</f>
        <v/>
      </c>
      <c r="F48" s="4" t="n"/>
    </row>
    <row r="49" ht="15" customHeight="1" s="35">
      <c r="A49" s="23" t="n"/>
      <c r="B49" s="11" t="n"/>
      <c r="C49" s="11" t="n"/>
      <c r="D49" s="11" t="n"/>
      <c r="E49" s="4">
        <f>IF(OR(B49="",C49="",D49=""),"",IF(C49=D49,"ใช่","ไม่"))</f>
        <v/>
      </c>
      <c r="F49" s="4" t="n"/>
    </row>
    <row r="50" ht="15" customHeight="1" s="35">
      <c r="A50" s="23" t="n"/>
      <c r="B50" s="11" t="n"/>
      <c r="C50" s="11" t="n"/>
      <c r="D50" s="11" t="n"/>
      <c r="E50" s="4">
        <f>IF(OR(B50="",C50="",D50=""),"",IF(C50=D50,"ใช่","ไม่"))</f>
        <v/>
      </c>
      <c r="F50" s="4" t="n"/>
    </row>
    <row r="51" ht="15" customHeight="1" s="35">
      <c r="A51" s="23" t="n"/>
      <c r="B51" s="11" t="n"/>
      <c r="C51" s="11" t="n"/>
      <c r="D51" s="11" t="n"/>
      <c r="E51" s="4">
        <f>IF(OR(B51="",C51="",D51=""),"",IF(C51=D51,"ใช่","ไม่"))</f>
        <v/>
      </c>
      <c r="F51" s="4" t="n"/>
    </row>
    <row r="52" ht="15" customHeight="1" s="35">
      <c r="A52" s="23" t="n"/>
      <c r="B52" s="11" t="n"/>
      <c r="C52" s="11" t="n"/>
      <c r="D52" s="11" t="n"/>
      <c r="E52" s="4">
        <f>IF(OR(B52="",C52="",D52=""),"",IF(C52=D52,"ใช่","ไม่"))</f>
        <v/>
      </c>
      <c r="F52" s="4" t="n"/>
    </row>
    <row r="53" ht="15" customHeight="1" s="35">
      <c r="A53" s="23" t="n"/>
      <c r="B53" s="11" t="n"/>
      <c r="C53" s="11" t="n"/>
      <c r="D53" s="11" t="n"/>
      <c r="E53" s="4">
        <f>IF(OR(B53="",C53="",D53=""),"",IF(C53=D53,"ใช่","ไม่"))</f>
        <v/>
      </c>
      <c r="F53" s="4" t="n"/>
    </row>
    <row r="54" ht="15" customHeight="1" s="35">
      <c r="A54" s="23" t="n"/>
      <c r="B54" s="11" t="n"/>
      <c r="C54" s="11" t="n"/>
      <c r="D54" s="11" t="n"/>
      <c r="E54" s="4">
        <f>IF(OR(B54="",C54="",D54=""),"",IF(C54=D54,"ใช่","ไม่"))</f>
        <v/>
      </c>
      <c r="F54" s="4" t="n"/>
    </row>
    <row r="55" ht="15" customHeight="1" s="35">
      <c r="A55" s="23" t="n"/>
      <c r="B55" s="11" t="n"/>
      <c r="C55" s="11" t="n"/>
      <c r="D55" s="11" t="n"/>
      <c r="E55" s="4">
        <f>IF(OR(B55="",C55="",D55=""),"",IF(C55=D55,"ใช่","ไม่"))</f>
        <v/>
      </c>
      <c r="F55" s="4" t="n"/>
    </row>
    <row r="56" ht="15" customHeight="1" s="35">
      <c r="A56" s="23" t="n"/>
      <c r="B56" s="11" t="n"/>
      <c r="C56" s="11" t="n"/>
      <c r="D56" s="11" t="n"/>
      <c r="E56" s="4">
        <f>IF(OR(B56="",C56="",D56=""),"",IF(C56=D56,"ใช่","ไม่"))</f>
        <v/>
      </c>
      <c r="F56" s="4" t="n"/>
    </row>
    <row r="57" ht="15" customHeight="1" s="35">
      <c r="A57" s="23" t="n"/>
      <c r="B57" s="11" t="n"/>
      <c r="C57" s="11" t="n"/>
      <c r="D57" s="11" t="n"/>
      <c r="E57" s="4">
        <f>IF(OR(B57="",C57="",D57=""),"",IF(C57=D57,"ใช่","ไม่"))</f>
        <v/>
      </c>
      <c r="F57" s="4" t="n"/>
    </row>
    <row r="58" ht="15" customHeight="1" s="35">
      <c r="A58" s="23" t="n"/>
      <c r="B58" s="11" t="n"/>
      <c r="C58" s="11" t="n"/>
      <c r="D58" s="11" t="n"/>
      <c r="E58" s="4">
        <f>IF(OR(B58="",C58="",D58=""),"",IF(C58=D58,"ใช่","ไม่"))</f>
        <v/>
      </c>
      <c r="F58" s="4" t="n"/>
    </row>
    <row r="59" ht="15" customHeight="1" s="35">
      <c r="A59" s="23" t="n"/>
      <c r="B59" s="11" t="n"/>
      <c r="C59" s="11" t="n"/>
      <c r="D59" s="11" t="n"/>
      <c r="E59" s="4">
        <f>IF(OR(B59="",C59="",D59=""),"",IF(C59=D59,"ใช่","ไม่"))</f>
        <v/>
      </c>
      <c r="F59" s="4" t="n"/>
    </row>
    <row r="60" ht="15" customHeight="1" s="35">
      <c r="A60" s="23" t="n"/>
      <c r="B60" s="11" t="n"/>
      <c r="C60" s="11" t="n"/>
      <c r="D60" s="11" t="n"/>
      <c r="E60" s="4">
        <f>IF(OR(B60="",C60="",D60=""),"",IF(C60=D60,"ใช่","ไม่"))</f>
        <v/>
      </c>
      <c r="F60" s="4" t="n"/>
    </row>
    <row r="61" ht="15" customHeight="1" s="35">
      <c r="A61" s="23" t="n"/>
      <c r="B61" s="11" t="n"/>
      <c r="C61" s="11" t="n"/>
      <c r="D61" s="11" t="n"/>
      <c r="E61" s="4">
        <f>IF(OR(B61="",C61="",D61=""),"",IF(C61=D61,"ใช่","ไม่"))</f>
        <v/>
      </c>
      <c r="F61" s="4" t="n"/>
    </row>
    <row r="62" ht="15" customHeight="1" s="35">
      <c r="A62" s="23" t="n"/>
      <c r="B62" s="11" t="n"/>
      <c r="C62" s="11" t="n"/>
      <c r="D62" s="11" t="n"/>
      <c r="E62" s="4">
        <f>IF(OR(B62="",C62="",D62=""),"",IF(C62=D62,"ใช่","ไม่"))</f>
        <v/>
      </c>
      <c r="F62" s="4" t="n"/>
    </row>
    <row r="63" ht="15" customHeight="1" s="35">
      <c r="A63" s="23" t="n"/>
      <c r="B63" s="11" t="n"/>
      <c r="C63" s="11" t="n"/>
      <c r="D63" s="11" t="n"/>
      <c r="E63" s="4">
        <f>IF(OR(B63="",C63="",D63=""),"",IF(C63=D63,"ใช่","ไม่"))</f>
        <v/>
      </c>
      <c r="F63" s="4" t="n"/>
    </row>
    <row r="64" ht="15" customHeight="1" s="35">
      <c r="A64" s="23" t="n"/>
      <c r="B64" s="11" t="n"/>
      <c r="C64" s="11" t="n"/>
      <c r="D64" s="11" t="n"/>
      <c r="E64" s="4">
        <f>IF(OR(B64="",C64="",D64=""),"",IF(C64=D64,"ใช่","ไม่"))</f>
        <v/>
      </c>
      <c r="F64" s="4" t="n"/>
    </row>
    <row r="65" ht="15" customHeight="1" s="35">
      <c r="A65" s="23" t="n"/>
      <c r="B65" s="11" t="n"/>
      <c r="C65" s="11" t="n"/>
      <c r="D65" s="11" t="n"/>
      <c r="E65" s="4">
        <f>IF(OR(B65="",C65="",D65=""),"",IF(C65=D65,"ใช่","ไม่"))</f>
        <v/>
      </c>
      <c r="F65" s="4" t="n"/>
    </row>
    <row r="66" ht="15" customHeight="1" s="35">
      <c r="A66" s="23" t="n"/>
      <c r="B66" s="11" t="n"/>
      <c r="C66" s="11" t="n"/>
      <c r="D66" s="11" t="n"/>
      <c r="E66" s="4">
        <f>IF(OR(B66="",C66="",D66=""),"",IF(C66=D66,"ใช่","ไม่"))</f>
        <v/>
      </c>
      <c r="F66" s="4" t="n"/>
    </row>
    <row r="67" ht="15" customHeight="1" s="35">
      <c r="A67" s="23" t="n"/>
      <c r="B67" s="11" t="n"/>
      <c r="C67" s="11" t="n"/>
      <c r="D67" s="11" t="n"/>
      <c r="E67" s="4">
        <f>IF(OR(B67="",C67="",D67=""),"",IF(C67=D67,"ใช่","ไม่"))</f>
        <v/>
      </c>
      <c r="F67" s="4" t="n"/>
    </row>
    <row r="68" ht="15" customHeight="1" s="35">
      <c r="A68" s="23" t="n"/>
      <c r="B68" s="11" t="n"/>
      <c r="C68" s="11" t="n"/>
      <c r="D68" s="11" t="n"/>
      <c r="E68" s="4">
        <f>IF(OR(B68="",C68="",D68=""),"",IF(C68=D68,"ใช่","ไม่"))</f>
        <v/>
      </c>
      <c r="F68" s="4" t="n"/>
    </row>
    <row r="69" ht="15" customHeight="1" s="35">
      <c r="A69" s="23" t="n"/>
      <c r="B69" s="11" t="n"/>
      <c r="C69" s="11" t="n"/>
      <c r="D69" s="11" t="n"/>
      <c r="E69" s="4">
        <f>IF(OR(B69="",C69="",D69=""),"",IF(C69=D69,"ใช่","ไม่"))</f>
        <v/>
      </c>
      <c r="F69" s="4" t="n"/>
    </row>
    <row r="70" ht="15" customHeight="1" s="35">
      <c r="A70" s="23" t="n"/>
      <c r="B70" s="11" t="n"/>
      <c r="C70" s="11" t="n"/>
      <c r="D70" s="11" t="n"/>
      <c r="E70" s="4">
        <f>IF(OR(B70="",C70="",D70=""),"",IF(C70=D70,"ใช่","ไม่"))</f>
        <v/>
      </c>
      <c r="F70" s="4" t="n"/>
    </row>
    <row r="71" ht="15" customHeight="1" s="35">
      <c r="A71" s="23" t="n"/>
      <c r="B71" s="11" t="n"/>
      <c r="C71" s="11" t="n"/>
      <c r="D71" s="11" t="n"/>
      <c r="E71" s="4">
        <f>IF(OR(B71="",C71="",D71=""),"",IF(C71=D71,"ใช่","ไม่"))</f>
        <v/>
      </c>
      <c r="F71" s="4" t="n"/>
    </row>
    <row r="72" ht="15" customHeight="1" s="35">
      <c r="A72" s="23" t="n"/>
      <c r="B72" s="11" t="n"/>
      <c r="C72" s="11" t="n"/>
      <c r="D72" s="11" t="n"/>
      <c r="E72" s="4">
        <f>IF(OR(B72="",C72="",D72=""),"",IF(C72=D72,"ใช่","ไม่"))</f>
        <v/>
      </c>
      <c r="F72" s="4" t="n"/>
    </row>
    <row r="73" ht="15" customHeight="1" s="35">
      <c r="A73" s="23" t="n"/>
      <c r="B73" s="11" t="n"/>
      <c r="C73" s="11" t="n"/>
      <c r="D73" s="11" t="n"/>
      <c r="E73" s="4">
        <f>IF(OR(B73="",C73="",D73=""),"",IF(C73=D73,"ใช่","ไม่"))</f>
        <v/>
      </c>
      <c r="F73" s="4" t="n"/>
    </row>
    <row r="74" ht="15" customHeight="1" s="35">
      <c r="A74" s="23" t="n"/>
      <c r="B74" s="11" t="n"/>
      <c r="C74" s="11" t="n"/>
      <c r="D74" s="11" t="n"/>
      <c r="E74" s="4">
        <f>IF(OR(B74="",C74="",D74=""),"",IF(C74=D74,"ใช่","ไม่"))</f>
        <v/>
      </c>
      <c r="F74" s="4" t="n"/>
    </row>
    <row r="75" ht="15" customHeight="1" s="35">
      <c r="A75" s="23" t="n"/>
      <c r="B75" s="11" t="n"/>
      <c r="C75" s="11" t="n"/>
      <c r="D75" s="11" t="n"/>
      <c r="E75" s="4">
        <f>IF(OR(B75="",C75="",D75=""),"",IF(C75=D75,"ใช่","ไม่"))</f>
        <v/>
      </c>
      <c r="F75" s="4" t="n"/>
    </row>
    <row r="76" ht="15" customHeight="1" s="35">
      <c r="A76" s="23" t="n"/>
      <c r="B76" s="11" t="n"/>
      <c r="C76" s="11" t="n"/>
      <c r="D76" s="11" t="n"/>
      <c r="E76" s="4">
        <f>IF(OR(B76="",C76="",D76=""),"",IF(C76=D76,"ใช่","ไม่"))</f>
        <v/>
      </c>
      <c r="F76" s="4" t="n"/>
    </row>
    <row r="77" ht="15" customHeight="1" s="35">
      <c r="A77" s="23" t="n"/>
      <c r="B77" s="11" t="n"/>
      <c r="C77" s="11" t="n"/>
      <c r="D77" s="11" t="n"/>
      <c r="E77" s="4">
        <f>IF(OR(B77="",C77="",D77=""),"",IF(C77=D77,"ใช่","ไม่"))</f>
        <v/>
      </c>
      <c r="F77" s="4" t="n"/>
    </row>
    <row r="78" ht="15" customHeight="1" s="35">
      <c r="A78" s="23" t="n"/>
      <c r="B78" s="11" t="n"/>
      <c r="C78" s="11" t="n"/>
      <c r="D78" s="11" t="n"/>
      <c r="E78" s="4">
        <f>IF(OR(B78="",C78="",D78=""),"",IF(C78=D78,"ใช่","ไม่"))</f>
        <v/>
      </c>
      <c r="F78" s="4" t="n"/>
    </row>
    <row r="79" ht="15" customHeight="1" s="35">
      <c r="A79" s="23" t="n"/>
      <c r="B79" s="11" t="n"/>
      <c r="C79" s="11" t="n"/>
      <c r="D79" s="11" t="n"/>
      <c r="E79" s="4">
        <f>IF(OR(B79="",C79="",D79=""),"",IF(C79=D79,"ใช่","ไม่"))</f>
        <v/>
      </c>
      <c r="F79" s="4" t="n"/>
    </row>
    <row r="80" ht="15" customHeight="1" s="35">
      <c r="A80" s="23" t="n"/>
      <c r="B80" s="11" t="n"/>
      <c r="C80" s="11" t="n"/>
      <c r="D80" s="11" t="n"/>
      <c r="E80" s="4">
        <f>IF(OR(B80="",C80="",D80=""),"",IF(C80=D80,"ใช่","ไม่"))</f>
        <v/>
      </c>
      <c r="F80" s="4" t="n"/>
    </row>
    <row r="81" ht="15" customHeight="1" s="35">
      <c r="A81" s="23" t="n"/>
      <c r="B81" s="11" t="n"/>
      <c r="C81" s="11" t="n"/>
      <c r="D81" s="11" t="n"/>
      <c r="E81" s="4">
        <f>IF(OR(B81="",C81="",D81=""),"",IF(C81=D81,"ใช่","ไม่"))</f>
        <v/>
      </c>
      <c r="F81" s="4" t="n"/>
    </row>
    <row r="82" ht="15" customHeight="1" s="35">
      <c r="A82" s="23" t="n"/>
      <c r="B82" s="11" t="n"/>
      <c r="C82" s="11" t="n"/>
      <c r="D82" s="11" t="n"/>
      <c r="E82" s="4">
        <f>IF(OR(B82="",C82="",D82=""),"",IF(C82=D82,"ใช่","ไม่"))</f>
        <v/>
      </c>
      <c r="F82" s="4" t="n"/>
    </row>
    <row r="83" ht="15" customHeight="1" s="35">
      <c r="A83" s="23" t="n"/>
      <c r="B83" s="11" t="n"/>
      <c r="C83" s="11" t="n"/>
      <c r="D83" s="11" t="n"/>
      <c r="E83" s="4">
        <f>IF(OR(B83="",C83="",D83=""),"",IF(C83=D83,"ใช่","ไม่"))</f>
        <v/>
      </c>
      <c r="F83" s="4" t="n"/>
    </row>
    <row r="84" ht="15" customHeight="1" s="35">
      <c r="A84" s="23" t="n"/>
      <c r="B84" s="11" t="n"/>
      <c r="C84" s="11" t="n"/>
      <c r="D84" s="11" t="n"/>
      <c r="E84" s="4">
        <f>IF(OR(B84="",C84="",D84=""),"",IF(C84=D84,"ใช่","ไม่"))</f>
        <v/>
      </c>
      <c r="F84" s="4" t="n"/>
    </row>
    <row r="85" ht="15" customHeight="1" s="35">
      <c r="A85" s="23" t="n"/>
      <c r="B85" s="11" t="n"/>
      <c r="C85" s="11" t="n"/>
      <c r="D85" s="11" t="n"/>
      <c r="E85" s="4">
        <f>IF(OR(B85="",C85="",D85=""),"",IF(C85=D85,"ใช่","ไม่"))</f>
        <v/>
      </c>
      <c r="F85" s="4" t="n"/>
    </row>
    <row r="86" ht="15" customHeight="1" s="35">
      <c r="A86" s="23" t="n"/>
      <c r="B86" s="11" t="n"/>
      <c r="C86" s="11" t="n"/>
      <c r="D86" s="11" t="n"/>
      <c r="E86" s="4">
        <f>IF(OR(B86="",C86="",D86=""),"",IF(C86=D86,"ใช่","ไม่"))</f>
        <v/>
      </c>
      <c r="F86" s="4" t="n"/>
    </row>
    <row r="87" ht="15" customHeight="1" s="35">
      <c r="A87" s="23" t="n"/>
      <c r="B87" s="11" t="n"/>
      <c r="C87" s="11" t="n"/>
      <c r="D87" s="11" t="n"/>
      <c r="E87" s="4">
        <f>IF(OR(B87="",C87="",D87=""),"",IF(C87=D87,"ใช่","ไม่"))</f>
        <v/>
      </c>
      <c r="F87" s="4" t="n"/>
    </row>
    <row r="88" ht="15" customHeight="1" s="35">
      <c r="A88" s="23" t="n"/>
      <c r="B88" s="11" t="n"/>
      <c r="C88" s="11" t="n"/>
      <c r="D88" s="11" t="n"/>
      <c r="E88" s="4">
        <f>IF(OR(B88="",C88="",D88=""),"",IF(C88=D88,"ใช่","ไม่"))</f>
        <v/>
      </c>
      <c r="F88" s="4" t="n"/>
    </row>
    <row r="89" ht="15" customHeight="1" s="35">
      <c r="A89" s="23" t="n"/>
      <c r="B89" s="11" t="n"/>
      <c r="C89" s="11" t="n"/>
      <c r="D89" s="11" t="n"/>
      <c r="E89" s="4">
        <f>IF(OR(B89="",C89="",D89=""),"",IF(C89=D89,"ใช่","ไม่"))</f>
        <v/>
      </c>
      <c r="F89" s="4" t="n"/>
    </row>
    <row r="90" ht="15" customHeight="1" s="35">
      <c r="A90" s="23" t="n"/>
      <c r="B90" s="11" t="n"/>
      <c r="C90" s="11" t="n"/>
      <c r="D90" s="11" t="n"/>
      <c r="E90" s="4">
        <f>IF(OR(B90="",C90="",D90=""),"",IF(C90=D90,"ใช่","ไม่"))</f>
        <v/>
      </c>
      <c r="F90" s="4" t="n"/>
    </row>
    <row r="91" ht="15" customHeight="1" s="35">
      <c r="A91" s="23" t="n"/>
      <c r="B91" s="11" t="n"/>
      <c r="C91" s="11" t="n"/>
      <c r="D91" s="11" t="n"/>
      <c r="E91" s="4">
        <f>IF(OR(B91="",C91="",D91=""),"",IF(C91=D91,"ใช่","ไม่"))</f>
        <v/>
      </c>
      <c r="F91" s="4" t="n"/>
    </row>
    <row r="92" ht="15" customHeight="1" s="35">
      <c r="A92" s="23" t="n"/>
      <c r="B92" s="11" t="n"/>
      <c r="C92" s="11" t="n"/>
      <c r="D92" s="11" t="n"/>
      <c r="E92" s="4">
        <f>IF(OR(B92="",C92="",D92=""),"",IF(C92=D92,"ใช่","ไม่"))</f>
        <v/>
      </c>
      <c r="F92" s="4" t="n"/>
    </row>
    <row r="93" ht="15" customHeight="1" s="35">
      <c r="A93" s="23" t="n"/>
      <c r="B93" s="11" t="n"/>
      <c r="C93" s="11" t="n"/>
      <c r="D93" s="11" t="n"/>
      <c r="E93" s="4">
        <f>IF(OR(B93="",C93="",D93=""),"",IF(C93=D93,"ใช่","ไม่"))</f>
        <v/>
      </c>
      <c r="F93" s="4" t="n"/>
    </row>
    <row r="94" ht="15" customHeight="1" s="35">
      <c r="A94" s="23" t="n"/>
      <c r="B94" s="11" t="n"/>
      <c r="C94" s="11" t="n"/>
      <c r="D94" s="11" t="n"/>
      <c r="E94" s="4">
        <f>IF(OR(B94="",C94="",D94=""),"",IF(C94=D94,"ใช่","ไม่"))</f>
        <v/>
      </c>
      <c r="F94" s="4" t="n"/>
    </row>
    <row r="95" ht="15" customHeight="1" s="35">
      <c r="A95" s="23" t="n"/>
      <c r="B95" s="11" t="n"/>
      <c r="C95" s="11" t="n"/>
      <c r="D95" s="11" t="n"/>
      <c r="E95" s="4">
        <f>IF(OR(B95="",C95="",D95=""),"",IF(C95=D95,"ใช่","ไม่"))</f>
        <v/>
      </c>
      <c r="F95" s="4" t="n"/>
    </row>
    <row r="96" ht="15" customHeight="1" s="35">
      <c r="A96" s="23" t="n"/>
      <c r="B96" s="11" t="n"/>
      <c r="C96" s="11" t="n"/>
      <c r="D96" s="11" t="n"/>
      <c r="E96" s="4">
        <f>IF(OR(B96="",C96="",D96=""),"",IF(C96=D96,"ใช่","ไม่"))</f>
        <v/>
      </c>
      <c r="F96" s="4" t="n"/>
    </row>
    <row r="97" ht="15" customHeight="1" s="35">
      <c r="A97" s="23" t="n"/>
      <c r="B97" s="11" t="n"/>
      <c r="C97" s="11" t="n"/>
      <c r="D97" s="11" t="n"/>
      <c r="E97" s="4">
        <f>IF(OR(B97="",C97="",D97=""),"",IF(C97=D97,"ใช่","ไม่"))</f>
        <v/>
      </c>
      <c r="F97" s="4" t="n"/>
    </row>
    <row r="98" ht="15" customHeight="1" s="35">
      <c r="A98" s="23" t="n"/>
      <c r="B98" s="11" t="n"/>
      <c r="C98" s="11" t="n"/>
      <c r="D98" s="11" t="n"/>
      <c r="E98" s="4">
        <f>IF(OR(B98="",C98="",D98=""),"",IF(C98=D98,"ใช่","ไม่"))</f>
        <v/>
      </c>
      <c r="F98" s="4" t="n"/>
    </row>
    <row r="99" ht="15" customHeight="1" s="35">
      <c r="A99" s="23" t="n"/>
      <c r="B99" s="11" t="n"/>
      <c r="C99" s="11" t="n"/>
      <c r="D99" s="11" t="n"/>
      <c r="E99" s="4">
        <f>IF(OR(B99="",C99="",D99=""),"",IF(C99=D99,"ใช่","ไม่"))</f>
        <v/>
      </c>
      <c r="F99" s="4" t="n"/>
    </row>
    <row r="100" ht="15" customHeight="1" s="35">
      <c r="A100" s="23" t="n"/>
      <c r="B100" s="11" t="n"/>
      <c r="C100" s="11" t="n"/>
      <c r="D100" s="11" t="n"/>
      <c r="E100" s="4">
        <f>IF(OR(B100="",C100="",D100=""),"",IF(C100=D100,"ใช่","ไม่"))</f>
        <v/>
      </c>
      <c r="F100" s="4" t="n"/>
    </row>
    <row r="101" ht="15" customHeight="1" s="35">
      <c r="A101" s="23" t="n"/>
      <c r="B101" s="11" t="n"/>
      <c r="C101" s="11" t="n"/>
      <c r="D101" s="11" t="n"/>
      <c r="E101" s="4">
        <f>IF(OR(B101="",C101="",D101=""),"",IF(C101=D101,"ใช่","ไม่"))</f>
        <v/>
      </c>
      <c r="F101" s="4" t="n"/>
    </row>
    <row r="102" ht="15" customHeight="1" s="35">
      <c r="A102" s="23" t="n"/>
      <c r="B102" s="11" t="n"/>
      <c r="C102" s="11" t="n"/>
      <c r="D102" s="11" t="n"/>
      <c r="E102" s="4">
        <f>IF(OR(B102="",C102="",D102=""),"",IF(C102=D102,"ใช่","ไม่"))</f>
        <v/>
      </c>
      <c r="F102" s="4" t="n"/>
    </row>
    <row r="103" ht="15" customHeight="1" s="35">
      <c r="A103" s="23" t="n"/>
      <c r="B103" s="11" t="n"/>
      <c r="C103" s="11" t="n"/>
      <c r="D103" s="11" t="n"/>
      <c r="E103" s="4">
        <f>IF(OR(B103="",C103="",D103=""),"",IF(C103=D103,"ใช่","ไม่"))</f>
        <v/>
      </c>
      <c r="F103" s="4" t="n"/>
    </row>
    <row r="104" ht="15" customHeight="1" s="35">
      <c r="A104" s="23" t="n"/>
      <c r="B104" s="11" t="n"/>
      <c r="C104" s="11" t="n"/>
      <c r="D104" s="11" t="n"/>
      <c r="E104" s="4">
        <f>IF(OR(B104="",C104="",D104=""),"",IF(C104=D104,"ใช่","ไม่"))</f>
        <v/>
      </c>
      <c r="F104" s="4" t="n"/>
    </row>
    <row r="105" ht="15" customHeight="1" s="35">
      <c r="A105" s="23" t="n"/>
      <c r="B105" s="11" t="n"/>
      <c r="C105" s="11" t="n"/>
      <c r="D105" s="11" t="n"/>
      <c r="E105" s="4">
        <f>IF(OR(B105="",C105="",D105=""),"",IF(C105=D105,"ใช่","ไม่"))</f>
        <v/>
      </c>
      <c r="F105" s="4" t="n"/>
    </row>
    <row r="106" ht="15" customHeight="1" s="35">
      <c r="A106" s="23" t="n"/>
      <c r="B106" s="11" t="n"/>
      <c r="C106" s="11" t="n"/>
      <c r="D106" s="11" t="n"/>
      <c r="E106" s="4">
        <f>IF(OR(B106="",C106="",D106=""),"",IF(C106=D106,"ใช่","ไม่"))</f>
        <v/>
      </c>
      <c r="F106" s="4" t="n"/>
    </row>
    <row r="107" ht="15" customHeight="1" s="35">
      <c r="A107" s="23" t="n"/>
      <c r="B107" s="11" t="n"/>
      <c r="C107" s="11" t="n"/>
      <c r="D107" s="11" t="n"/>
      <c r="E107" s="4">
        <f>IF(OR(B107="",C107="",D107=""),"",IF(C107=D107,"ใช่","ไม่"))</f>
        <v/>
      </c>
      <c r="F107" s="4" t="n"/>
    </row>
    <row r="108" ht="15" customHeight="1" s="35">
      <c r="A108" s="23" t="n"/>
      <c r="B108" s="11" t="n"/>
      <c r="C108" s="11" t="n"/>
      <c r="D108" s="11" t="n"/>
      <c r="E108" s="4">
        <f>IF(OR(B108="",C108="",D108=""),"",IF(C108=D108,"ใช่","ไม่"))</f>
        <v/>
      </c>
      <c r="F108" s="4" t="n"/>
    </row>
    <row r="109" ht="15" customHeight="1" s="35">
      <c r="A109" s="23" t="n"/>
      <c r="B109" s="11" t="n"/>
      <c r="C109" s="11" t="n"/>
      <c r="D109" s="11" t="n"/>
      <c r="E109" s="4">
        <f>IF(OR(B109="",C109="",D109=""),"",IF(C109=D109,"ใช่","ไม่"))</f>
        <v/>
      </c>
      <c r="F109" s="4" t="n"/>
    </row>
    <row r="110" ht="15" customHeight="1" s="35">
      <c r="A110" s="23" t="n"/>
      <c r="B110" s="11" t="n"/>
      <c r="C110" s="11" t="n"/>
      <c r="D110" s="11" t="n"/>
      <c r="E110" s="4">
        <f>IF(OR(B110="",C110="",D110=""),"",IF(C110=D110,"ใช่","ไม่"))</f>
        <v/>
      </c>
      <c r="F110" s="4" t="n"/>
    </row>
    <row r="111" ht="15" customHeight="1" s="35">
      <c r="A111" s="23" t="n"/>
      <c r="B111" s="11" t="n"/>
      <c r="C111" s="11" t="n"/>
      <c r="D111" s="11" t="n"/>
      <c r="E111" s="4">
        <f>IF(OR(B111="",C111="",D111=""),"",IF(C111=D111,"ใช่","ไม่"))</f>
        <v/>
      </c>
      <c r="F111" s="4" t="n"/>
    </row>
    <row r="112" ht="15" customHeight="1" s="35">
      <c r="A112" s="23" t="n"/>
      <c r="B112" s="11" t="n"/>
      <c r="C112" s="11" t="n"/>
      <c r="D112" s="11" t="n"/>
      <c r="E112" s="4">
        <f>IF(OR(B112="",C112="",D112=""),"",IF(C112=D112,"ใช่","ไม่"))</f>
        <v/>
      </c>
      <c r="F112" s="4" t="n"/>
    </row>
    <row r="113" ht="15" customHeight="1" s="35">
      <c r="A113" s="23" t="n"/>
      <c r="B113" s="11" t="n"/>
      <c r="C113" s="11" t="n"/>
      <c r="D113" s="11" t="n"/>
      <c r="E113" s="4">
        <f>IF(OR(B113="",C113="",D113=""),"",IF(C113=D113,"ใช่","ไม่"))</f>
        <v/>
      </c>
      <c r="F113" s="4" t="n"/>
    </row>
    <row r="114" ht="15" customHeight="1" s="35">
      <c r="A114" s="23" t="n"/>
      <c r="B114" s="11" t="n"/>
      <c r="C114" s="11" t="n"/>
      <c r="D114" s="11" t="n"/>
      <c r="E114" s="4">
        <f>IF(OR(B114="",C114="",D114=""),"",IF(C114=D114,"ใช่","ไม่"))</f>
        <v/>
      </c>
      <c r="F114" s="4" t="n"/>
    </row>
    <row r="115" ht="15" customHeight="1" s="35">
      <c r="A115" s="23" t="n"/>
      <c r="B115" s="11" t="n"/>
      <c r="C115" s="11" t="n"/>
      <c r="D115" s="11" t="n"/>
      <c r="E115" s="4">
        <f>IF(OR(B115="",C115="",D115=""),"",IF(C115=D115,"ใช่","ไม่"))</f>
        <v/>
      </c>
      <c r="F115" s="4" t="n"/>
    </row>
    <row r="116" ht="15" customHeight="1" s="35">
      <c r="A116" s="23" t="n"/>
      <c r="B116" s="11" t="n"/>
      <c r="C116" s="11" t="n"/>
      <c r="D116" s="11" t="n"/>
      <c r="E116" s="4">
        <f>IF(OR(B116="",C116="",D116=""),"",IF(C116=D116,"ใช่","ไม่"))</f>
        <v/>
      </c>
      <c r="F116" s="4" t="n"/>
    </row>
    <row r="117" ht="15" customHeight="1" s="35">
      <c r="A117" s="23" t="n"/>
      <c r="B117" s="11" t="n"/>
      <c r="C117" s="11" t="n"/>
      <c r="D117" s="11" t="n"/>
      <c r="E117" s="4">
        <f>IF(OR(B117="",C117="",D117=""),"",IF(C117=D117,"ใช่","ไม่"))</f>
        <v/>
      </c>
      <c r="F117" s="4" t="n"/>
    </row>
    <row r="118" ht="15" customHeight="1" s="35">
      <c r="A118" s="23" t="n"/>
      <c r="B118" s="11" t="n"/>
      <c r="C118" s="11" t="n"/>
      <c r="D118" s="11" t="n"/>
      <c r="E118" s="4">
        <f>IF(OR(B118="",C118="",D118=""),"",IF(C118=D118,"ใช่","ไม่"))</f>
        <v/>
      </c>
      <c r="F118" s="4" t="n"/>
    </row>
    <row r="119" ht="15" customHeight="1" s="35">
      <c r="A119" s="23" t="n"/>
      <c r="B119" s="11" t="n"/>
      <c r="C119" s="11" t="n"/>
      <c r="D119" s="11" t="n"/>
      <c r="E119" s="4">
        <f>IF(OR(B119="",C119="",D119=""),"",IF(C119=D119,"ใช่","ไม่"))</f>
        <v/>
      </c>
      <c r="F119" s="4" t="n"/>
    </row>
    <row r="120" ht="15" customHeight="1" s="35">
      <c r="A120" s="23" t="n"/>
      <c r="B120" s="11" t="n"/>
      <c r="C120" s="11" t="n"/>
      <c r="D120" s="11" t="n"/>
      <c r="E120" s="4">
        <f>IF(OR(B120="",C120="",D120=""),"",IF(C120=D120,"ใช่","ไม่"))</f>
        <v/>
      </c>
      <c r="F120" s="4" t="n"/>
    </row>
    <row r="121" ht="15" customHeight="1" s="35">
      <c r="A121" s="23" t="n"/>
      <c r="B121" s="11" t="n"/>
      <c r="C121" s="11" t="n"/>
      <c r="D121" s="11" t="n"/>
      <c r="E121" s="4">
        <f>IF(OR(B121="",C121="",D121=""),"",IF(C121=D121,"ใช่","ไม่"))</f>
        <v/>
      </c>
      <c r="F121" s="4" t="n"/>
    </row>
    <row r="122" ht="15" customHeight="1" s="35">
      <c r="A122" s="23" t="n"/>
      <c r="B122" s="11" t="n"/>
      <c r="C122" s="11" t="n"/>
      <c r="D122" s="11" t="n"/>
      <c r="E122" s="4">
        <f>IF(OR(B122="",C122="",D122=""),"",IF(C122=D122,"ใช่","ไม่"))</f>
        <v/>
      </c>
      <c r="F122" s="4" t="n"/>
    </row>
    <row r="123" ht="15" customHeight="1" s="35">
      <c r="A123" s="23" t="n"/>
      <c r="B123" s="11" t="n"/>
      <c r="C123" s="11" t="n"/>
      <c r="D123" s="11" t="n"/>
      <c r="E123" s="4">
        <f>IF(OR(B123="",C123="",D123=""),"",IF(C123=D123,"ใช่","ไม่"))</f>
        <v/>
      </c>
      <c r="F123" s="4" t="n"/>
    </row>
    <row r="124" ht="15" customHeight="1" s="35">
      <c r="A124" s="23" t="n"/>
      <c r="B124" s="11" t="n"/>
      <c r="C124" s="11" t="n"/>
      <c r="D124" s="11" t="n"/>
      <c r="E124" s="4">
        <f>IF(OR(B124="",C124="",D124=""),"",IF(C124=D124,"ใช่","ไม่"))</f>
        <v/>
      </c>
      <c r="F124" s="4" t="n"/>
    </row>
    <row r="125" ht="15" customHeight="1" s="35">
      <c r="A125" s="23" t="n"/>
      <c r="B125" s="11" t="n"/>
      <c r="C125" s="11" t="n"/>
      <c r="D125" s="11" t="n"/>
      <c r="E125" s="4">
        <f>IF(OR(B125="",C125="",D125=""),"",IF(C125=D125,"ใช่","ไม่"))</f>
        <v/>
      </c>
      <c r="F125" s="4" t="n"/>
    </row>
    <row r="126" ht="15" customHeight="1" s="35">
      <c r="A126" s="23" t="n"/>
      <c r="B126" s="11" t="n"/>
      <c r="C126" s="11" t="n"/>
      <c r="D126" s="11" t="n"/>
      <c r="E126" s="4">
        <f>IF(OR(B126="",C126="",D126=""),"",IF(C126=D126,"ใช่","ไม่"))</f>
        <v/>
      </c>
      <c r="F126" s="4" t="n"/>
    </row>
    <row r="127" ht="15" customHeight="1" s="35">
      <c r="A127" s="23" t="n"/>
      <c r="B127" s="11" t="n"/>
      <c r="C127" s="11" t="n"/>
      <c r="D127" s="11" t="n"/>
      <c r="E127" s="4">
        <f>IF(OR(B127="",C127="",D127=""),"",IF(C127=D127,"ใช่","ไม่"))</f>
        <v/>
      </c>
      <c r="F127" s="4" t="n"/>
    </row>
    <row r="128" ht="15" customHeight="1" s="35">
      <c r="A128" s="23" t="n"/>
      <c r="B128" s="11" t="n"/>
      <c r="C128" s="11" t="n"/>
      <c r="D128" s="11" t="n"/>
      <c r="E128" s="4">
        <f>IF(OR(B128="",C128="",D128=""),"",IF(C128=D128,"ใช่","ไม่"))</f>
        <v/>
      </c>
      <c r="F128" s="4" t="n"/>
    </row>
    <row r="129" ht="15" customHeight="1" s="35">
      <c r="A129" s="23" t="n"/>
      <c r="B129" s="11" t="n"/>
      <c r="C129" s="11" t="n"/>
      <c r="D129" s="11" t="n"/>
      <c r="E129" s="4">
        <f>IF(OR(B129="",C129="",D129=""),"",IF(C129=D129,"ใช่","ไม่"))</f>
        <v/>
      </c>
      <c r="F129" s="4" t="n"/>
    </row>
    <row r="130" ht="15" customHeight="1" s="35">
      <c r="A130" s="23" t="n"/>
      <c r="B130" s="11" t="n"/>
      <c r="C130" s="11" t="n"/>
      <c r="D130" s="11" t="n"/>
      <c r="E130" s="4">
        <f>IF(OR(B130="",C130="",D130=""),"",IF(C130=D130,"ใช่","ไม่"))</f>
        <v/>
      </c>
      <c r="F130" s="4" t="n"/>
    </row>
    <row r="131" ht="15" customHeight="1" s="35">
      <c r="A131" s="23" t="n"/>
      <c r="B131" s="11" t="n"/>
      <c r="C131" s="11" t="n"/>
      <c r="D131" s="11" t="n"/>
      <c r="E131" s="4">
        <f>IF(OR(B131="",C131="",D131=""),"",IF(C131=D131,"ใช่","ไม่"))</f>
        <v/>
      </c>
      <c r="F131" s="4" t="n"/>
    </row>
    <row r="132" ht="15" customHeight="1" s="35">
      <c r="A132" s="23" t="n"/>
      <c r="B132" s="11" t="n"/>
      <c r="C132" s="11" t="n"/>
      <c r="D132" s="11" t="n"/>
      <c r="E132" s="4">
        <f>IF(OR(B132="",C132="",D132=""),"",IF(C132=D132,"ใช่","ไม่"))</f>
        <v/>
      </c>
      <c r="F132" s="4" t="n"/>
    </row>
    <row r="133" ht="15" customHeight="1" s="35">
      <c r="A133" s="23" t="n"/>
      <c r="B133" s="11" t="n"/>
      <c r="C133" s="11" t="n"/>
      <c r="D133" s="11" t="n"/>
      <c r="E133" s="4">
        <f>IF(OR(B133="",C133="",D133=""),"",IF(C133=D133,"ใช่","ไม่"))</f>
        <v/>
      </c>
      <c r="F133" s="4" t="n"/>
    </row>
    <row r="134" ht="15" customHeight="1" s="35">
      <c r="A134" s="23" t="n"/>
      <c r="B134" s="11" t="n"/>
      <c r="C134" s="11" t="n"/>
      <c r="D134" s="11" t="n"/>
      <c r="E134" s="4">
        <f>IF(OR(B134="",C134="",D134=""),"",IF(C134=D134,"ใช่","ไม่"))</f>
        <v/>
      </c>
      <c r="F134" s="4" t="n"/>
    </row>
    <row r="135" ht="15" customHeight="1" s="35">
      <c r="A135" s="23" t="n"/>
      <c r="B135" s="11" t="n"/>
      <c r="C135" s="11" t="n"/>
      <c r="D135" s="11" t="n"/>
      <c r="E135" s="4">
        <f>IF(OR(B135="",C135="",D135=""),"",IF(C135=D135,"ใช่","ไม่"))</f>
        <v/>
      </c>
      <c r="F135" s="4" t="n"/>
    </row>
    <row r="136" ht="15" customHeight="1" s="35">
      <c r="A136" s="23" t="n"/>
      <c r="B136" s="11" t="n"/>
      <c r="C136" s="11" t="n"/>
      <c r="D136" s="11" t="n"/>
      <c r="E136" s="4">
        <f>IF(OR(B136="",C136="",D136=""),"",IF(C136=D136,"ใช่","ไม่"))</f>
        <v/>
      </c>
      <c r="F136" s="4" t="n"/>
    </row>
    <row r="137" ht="15" customHeight="1" s="35">
      <c r="A137" s="23" t="n"/>
      <c r="B137" s="11" t="n"/>
      <c r="C137" s="11" t="n"/>
      <c r="D137" s="11" t="n"/>
      <c r="E137" s="4">
        <f>IF(OR(B137="",C137="",D137=""),"",IF(C137=D137,"ใช่","ไม่"))</f>
        <v/>
      </c>
      <c r="F137" s="4" t="n"/>
    </row>
    <row r="138" ht="15" customHeight="1" s="35">
      <c r="A138" s="23" t="n"/>
      <c r="B138" s="11" t="n"/>
      <c r="C138" s="11" t="n"/>
      <c r="D138" s="11" t="n"/>
      <c r="E138" s="4">
        <f>IF(OR(B138="",C138="",D138=""),"",IF(C138=D138,"ใช่","ไม่"))</f>
        <v/>
      </c>
      <c r="F138" s="4" t="n"/>
    </row>
    <row r="139" ht="15" customHeight="1" s="35">
      <c r="A139" s="23" t="n"/>
      <c r="B139" s="11" t="n"/>
      <c r="C139" s="11" t="n"/>
      <c r="D139" s="11" t="n"/>
      <c r="E139" s="4">
        <f>IF(OR(B139="",C139="",D139=""),"",IF(C139=D139,"ใช่","ไม่"))</f>
        <v/>
      </c>
      <c r="F139" s="4" t="n"/>
    </row>
    <row r="140" ht="15" customHeight="1" s="35">
      <c r="A140" s="23" t="n"/>
      <c r="B140" s="11" t="n"/>
      <c r="C140" s="11" t="n"/>
      <c r="D140" s="11" t="n"/>
      <c r="E140" s="4">
        <f>IF(OR(B140="",C140="",D140=""),"",IF(C140=D140,"ใช่","ไม่"))</f>
        <v/>
      </c>
      <c r="F140" s="4" t="n"/>
    </row>
    <row r="141" ht="15" customHeight="1" s="35">
      <c r="A141" s="23" t="n"/>
      <c r="B141" s="11" t="n"/>
      <c r="C141" s="11" t="n"/>
      <c r="D141" s="11" t="n"/>
      <c r="E141" s="4">
        <f>IF(OR(B141="",C141="",D141=""),"",IF(C141=D141,"ใช่","ไม่"))</f>
        <v/>
      </c>
      <c r="F141" s="4" t="n"/>
    </row>
    <row r="142" ht="15" customHeight="1" s="35">
      <c r="A142" s="23" t="n"/>
      <c r="B142" s="11" t="n"/>
      <c r="C142" s="11" t="n"/>
      <c r="D142" s="11" t="n"/>
      <c r="E142" s="4">
        <f>IF(OR(B142="",C142="",D142=""),"",IF(C142=D142,"ใช่","ไม่"))</f>
        <v/>
      </c>
      <c r="F142" s="4" t="n"/>
    </row>
    <row r="143" ht="15" customHeight="1" s="35">
      <c r="A143" s="23" t="n"/>
      <c r="B143" s="11" t="n"/>
      <c r="C143" s="11" t="n"/>
      <c r="D143" s="11" t="n"/>
      <c r="E143" s="4">
        <f>IF(OR(B143="",C143="",D143=""),"",IF(C143=D143,"ใช่","ไม่"))</f>
        <v/>
      </c>
      <c r="F143" s="4" t="n"/>
    </row>
    <row r="144" ht="15" customHeight="1" s="35">
      <c r="A144" s="23" t="n"/>
      <c r="B144" s="11" t="n"/>
      <c r="C144" s="11" t="n"/>
      <c r="D144" s="11" t="n"/>
      <c r="E144" s="4">
        <f>IF(OR(B144="",C144="",D144=""),"",IF(C144=D144,"ใช่","ไม่"))</f>
        <v/>
      </c>
      <c r="F144" s="4" t="n"/>
    </row>
    <row r="145" ht="15" customHeight="1" s="35">
      <c r="A145" s="23" t="n"/>
      <c r="B145" s="11" t="n"/>
      <c r="C145" s="11" t="n"/>
      <c r="D145" s="11" t="n"/>
      <c r="E145" s="4">
        <f>IF(OR(B145="",C145="",D145=""),"",IF(C145=D145,"ใช่","ไม่"))</f>
        <v/>
      </c>
      <c r="F145" s="4" t="n"/>
    </row>
    <row r="146" ht="15" customHeight="1" s="35">
      <c r="A146" s="23" t="n"/>
      <c r="B146" s="11" t="n"/>
      <c r="C146" s="11" t="n"/>
      <c r="D146" s="11" t="n"/>
      <c r="E146" s="4">
        <f>IF(OR(B146="",C146="",D146=""),"",IF(C146=D146,"ใช่","ไม่"))</f>
        <v/>
      </c>
      <c r="F146" s="4" t="n"/>
    </row>
    <row r="147" ht="15" customHeight="1" s="35">
      <c r="A147" s="23" t="n"/>
      <c r="B147" s="11" t="n"/>
      <c r="C147" s="11" t="n"/>
      <c r="D147" s="11" t="n"/>
      <c r="E147" s="4">
        <f>IF(OR(B147="",C147="",D147=""),"",IF(C147=D147,"ใช่","ไม่"))</f>
        <v/>
      </c>
      <c r="F147" s="4" t="n"/>
    </row>
    <row r="148" ht="15" customHeight="1" s="35">
      <c r="A148" s="23" t="n"/>
      <c r="B148" s="11" t="n"/>
      <c r="C148" s="11" t="n"/>
      <c r="D148" s="11" t="n"/>
      <c r="E148" s="4">
        <f>IF(OR(B148="",C148="",D148=""),"",IF(C148=D148,"ใช่","ไม่"))</f>
        <v/>
      </c>
      <c r="F148" s="4" t="n"/>
    </row>
    <row r="149" ht="15" customHeight="1" s="35">
      <c r="A149" s="23" t="n"/>
      <c r="B149" s="11" t="n"/>
      <c r="C149" s="11" t="n"/>
      <c r="D149" s="11" t="n"/>
      <c r="E149" s="4">
        <f>IF(OR(B149="",C149="",D149=""),"",IF(C149=D149,"ใช่","ไม่"))</f>
        <v/>
      </c>
      <c r="F149" s="4" t="n"/>
    </row>
    <row r="150" ht="15" customHeight="1" s="35">
      <c r="A150" s="23" t="n"/>
      <c r="B150" s="11" t="n"/>
      <c r="C150" s="11" t="n"/>
      <c r="D150" s="11" t="n"/>
      <c r="E150" s="4">
        <f>IF(OR(B150="",C150="",D150=""),"",IF(C150=D150,"ใช่","ไม่"))</f>
        <v/>
      </c>
      <c r="F150" s="4" t="n"/>
    </row>
    <row r="151" ht="15" customHeight="1" s="35">
      <c r="A151" s="23" t="n"/>
      <c r="B151" s="11" t="n"/>
      <c r="C151" s="11" t="n"/>
      <c r="D151" s="11" t="n"/>
      <c r="E151" s="4">
        <f>IF(OR(B151="",C151="",D151=""),"",IF(C151=D151,"ใช่","ไม่"))</f>
        <v/>
      </c>
      <c r="F151" s="4" t="n"/>
    </row>
    <row r="152" ht="15" customHeight="1" s="35">
      <c r="A152" s="23" t="n"/>
      <c r="B152" s="11" t="n"/>
      <c r="C152" s="11" t="n"/>
      <c r="D152" s="11" t="n"/>
      <c r="E152" s="4">
        <f>IF(OR(B152="",C152="",D152=""),"",IF(C152=D152,"ใช่","ไม่"))</f>
        <v/>
      </c>
      <c r="F152" s="4" t="n"/>
    </row>
    <row r="153" ht="15" customHeight="1" s="35">
      <c r="A153" s="23" t="n"/>
      <c r="B153" s="11" t="n"/>
      <c r="C153" s="11" t="n"/>
      <c r="D153" s="11" t="n"/>
      <c r="E153" s="4">
        <f>IF(OR(B153="",C153="",D153=""),"",IF(C153=D153,"ใช่","ไม่"))</f>
        <v/>
      </c>
      <c r="F153" s="4" t="n"/>
    </row>
    <row r="154" ht="15" customHeight="1" s="35">
      <c r="A154" s="23" t="n"/>
      <c r="B154" s="11" t="n"/>
      <c r="C154" s="11" t="n"/>
      <c r="D154" s="11" t="n"/>
      <c r="E154" s="4">
        <f>IF(OR(B154="",C154="",D154=""),"",IF(C154=D154,"ใช่","ไม่"))</f>
        <v/>
      </c>
      <c r="F154" s="4" t="n"/>
    </row>
    <row r="155" ht="15" customHeight="1" s="35">
      <c r="A155" s="23" t="n"/>
      <c r="B155" s="11" t="n"/>
      <c r="C155" s="11" t="n"/>
      <c r="D155" s="11" t="n"/>
      <c r="E155" s="4">
        <f>IF(OR(B155="",C155="",D155=""),"",IF(C155=D155,"ใช่","ไม่"))</f>
        <v/>
      </c>
      <c r="F155" s="4" t="n"/>
    </row>
    <row r="156" ht="15" customHeight="1" s="35">
      <c r="A156" s="23" t="n"/>
      <c r="B156" s="11" t="n"/>
      <c r="C156" s="11" t="n"/>
      <c r="D156" s="11" t="n"/>
      <c r="E156" s="4">
        <f>IF(OR(B156="",C156="",D156=""),"",IF(C156=D156,"ใช่","ไม่"))</f>
        <v/>
      </c>
      <c r="F156" s="4" t="n"/>
    </row>
    <row r="157" ht="15" customHeight="1" s="35">
      <c r="A157" s="23" t="n"/>
      <c r="B157" s="11" t="n"/>
      <c r="C157" s="11" t="n"/>
      <c r="D157" s="11" t="n"/>
      <c r="E157" s="4">
        <f>IF(OR(B157="",C157="",D157=""),"",IF(C157=D157,"ใช่","ไม่"))</f>
        <v/>
      </c>
      <c r="F157" s="4" t="n"/>
    </row>
    <row r="158" ht="15" customHeight="1" s="35">
      <c r="A158" s="23" t="n"/>
      <c r="B158" s="11" t="n"/>
      <c r="C158" s="11" t="n"/>
      <c r="D158" s="11" t="n"/>
      <c r="E158" s="4">
        <f>IF(OR(B158="",C158="",D158=""),"",IF(C158=D158,"ใช่","ไม่"))</f>
        <v/>
      </c>
      <c r="F158" s="4" t="n"/>
    </row>
    <row r="159" ht="15" customHeight="1" s="35">
      <c r="A159" s="23" t="n"/>
      <c r="B159" s="11" t="n"/>
      <c r="C159" s="11" t="n"/>
      <c r="D159" s="11" t="n"/>
      <c r="E159" s="4">
        <f>IF(OR(B159="",C159="",D159=""),"",IF(C159=D159,"ใช่","ไม่"))</f>
        <v/>
      </c>
      <c r="F159" s="4" t="n"/>
    </row>
    <row r="160" ht="15" customHeight="1" s="35">
      <c r="A160" s="23" t="n"/>
      <c r="B160" s="11" t="n"/>
      <c r="C160" s="11" t="n"/>
      <c r="D160" s="11" t="n"/>
      <c r="E160" s="4">
        <f>IF(OR(B160="",C160="",D160=""),"",IF(C160=D160,"ใช่","ไม่"))</f>
        <v/>
      </c>
      <c r="F160" s="4" t="n"/>
    </row>
    <row r="161" ht="15" customHeight="1" s="35">
      <c r="A161" s="23" t="n"/>
      <c r="B161" s="11" t="n"/>
      <c r="C161" s="11" t="n"/>
      <c r="D161" s="11" t="n"/>
      <c r="E161" s="4">
        <f>IF(OR(B161="",C161="",D161=""),"",IF(C161=D161,"ใช่","ไม่"))</f>
        <v/>
      </c>
      <c r="F161" s="4" t="n"/>
    </row>
    <row r="162" ht="15" customHeight="1" s="35">
      <c r="A162" s="23" t="n"/>
      <c r="B162" s="11" t="n"/>
      <c r="C162" s="11" t="n"/>
      <c r="D162" s="11" t="n"/>
      <c r="E162" s="4">
        <f>IF(OR(B162="",C162="",D162=""),"",IF(C162=D162,"ใช่","ไม่"))</f>
        <v/>
      </c>
      <c r="F162" s="4" t="n"/>
    </row>
    <row r="163" ht="15" customHeight="1" s="35">
      <c r="A163" s="23" t="n"/>
      <c r="B163" s="11" t="n"/>
      <c r="C163" s="11" t="n"/>
      <c r="D163" s="11" t="n"/>
      <c r="E163" s="4">
        <f>IF(OR(B163="",C163="",D163=""),"",IF(C163=D163,"ใช่","ไม่"))</f>
        <v/>
      </c>
      <c r="F163" s="4" t="n"/>
    </row>
    <row r="164" ht="15" customHeight="1" s="35">
      <c r="A164" s="23" t="n"/>
      <c r="B164" s="11" t="n"/>
      <c r="C164" s="11" t="n"/>
      <c r="D164" s="11" t="n"/>
      <c r="E164" s="4">
        <f>IF(OR(B164="",C164="",D164=""),"",IF(C164=D164,"ใช่","ไม่"))</f>
        <v/>
      </c>
      <c r="F164" s="4" t="n"/>
    </row>
    <row r="165" ht="15" customHeight="1" s="35">
      <c r="A165" s="23" t="n"/>
      <c r="B165" s="11" t="n"/>
      <c r="C165" s="11" t="n"/>
      <c r="D165" s="11" t="n"/>
      <c r="E165" s="4">
        <f>IF(OR(B165="",C165="",D165=""),"",IF(C165=D165,"ใช่","ไม่"))</f>
        <v/>
      </c>
      <c r="F165" s="4" t="n"/>
    </row>
    <row r="166" ht="15" customHeight="1" s="35">
      <c r="A166" s="23" t="n"/>
      <c r="B166" s="11" t="n"/>
      <c r="C166" s="11" t="n"/>
      <c r="D166" s="11" t="n"/>
      <c r="E166" s="4">
        <f>IF(OR(B166="",C166="",D166=""),"",IF(C166=D166,"ใช่","ไม่"))</f>
        <v/>
      </c>
      <c r="F166" s="4" t="n"/>
    </row>
    <row r="167" ht="15" customHeight="1" s="35">
      <c r="A167" s="23" t="n"/>
      <c r="B167" s="11" t="n"/>
      <c r="C167" s="11" t="n"/>
      <c r="D167" s="11" t="n"/>
      <c r="E167" s="4">
        <f>IF(OR(B167="",C167="",D167=""),"",IF(C167=D167,"ใช่","ไม่"))</f>
        <v/>
      </c>
      <c r="F167" s="4" t="n"/>
    </row>
    <row r="168" ht="15" customHeight="1" s="35">
      <c r="A168" s="23" t="n"/>
      <c r="B168" s="11" t="n"/>
      <c r="C168" s="11" t="n"/>
      <c r="D168" s="11" t="n"/>
      <c r="E168" s="4">
        <f>IF(OR(B168="",C168="",D168=""),"",IF(C168=D168,"ใช่","ไม่"))</f>
        <v/>
      </c>
      <c r="F168" s="4" t="n"/>
    </row>
    <row r="169" ht="15" customHeight="1" s="35">
      <c r="A169" s="23" t="n"/>
      <c r="B169" s="11" t="n"/>
      <c r="C169" s="11" t="n"/>
      <c r="D169" s="11" t="n"/>
      <c r="E169" s="4">
        <f>IF(OR(B169="",C169="",D169=""),"",IF(C169=D169,"ใช่","ไม่"))</f>
        <v/>
      </c>
      <c r="F169" s="4" t="n"/>
    </row>
    <row r="170" ht="15" customHeight="1" s="35">
      <c r="A170" s="23" t="n"/>
      <c r="B170" s="11" t="n"/>
      <c r="C170" s="11" t="n"/>
      <c r="D170" s="11" t="n"/>
      <c r="E170" s="4">
        <f>IF(OR(B170="",C170="",D170=""),"",IF(C170=D170,"ใช่","ไม่"))</f>
        <v/>
      </c>
      <c r="F170" s="4" t="n"/>
    </row>
    <row r="171" ht="15" customHeight="1" s="35">
      <c r="A171" s="23" t="n"/>
      <c r="B171" s="11" t="n"/>
      <c r="C171" s="11" t="n"/>
      <c r="D171" s="11" t="n"/>
      <c r="E171" s="4">
        <f>IF(OR(B171="",C171="",D171=""),"",IF(C171=D171,"ใช่","ไม่"))</f>
        <v/>
      </c>
      <c r="F171" s="4" t="n"/>
    </row>
    <row r="172" ht="15" customHeight="1" s="35">
      <c r="A172" s="23" t="n"/>
      <c r="B172" s="11" t="n"/>
      <c r="C172" s="11" t="n"/>
      <c r="D172" s="11" t="n"/>
      <c r="E172" s="4">
        <f>IF(OR(B172="",C172="",D172=""),"",IF(C172=D172,"ใช่","ไม่"))</f>
        <v/>
      </c>
      <c r="F172" s="4" t="n"/>
    </row>
    <row r="173" ht="15" customHeight="1" s="35">
      <c r="A173" s="23" t="n"/>
      <c r="B173" s="11" t="n"/>
      <c r="C173" s="11" t="n"/>
      <c r="D173" s="11" t="n"/>
      <c r="E173" s="4">
        <f>IF(OR(B173="",C173="",D173=""),"",IF(C173=D173,"ใช่","ไม่"))</f>
        <v/>
      </c>
      <c r="F173" s="4" t="n"/>
    </row>
    <row r="174" ht="15" customHeight="1" s="35">
      <c r="A174" s="23" t="n"/>
      <c r="B174" s="11" t="n"/>
      <c r="C174" s="11" t="n"/>
      <c r="D174" s="11" t="n"/>
      <c r="E174" s="4">
        <f>IF(OR(B174="",C174="",D174=""),"",IF(C174=D174,"ใช่","ไม่"))</f>
        <v/>
      </c>
      <c r="F174" s="4" t="n"/>
    </row>
    <row r="175" ht="15" customHeight="1" s="35">
      <c r="A175" s="23" t="n"/>
      <c r="B175" s="11" t="n"/>
      <c r="C175" s="11" t="n"/>
      <c r="D175" s="11" t="n"/>
      <c r="E175" s="4">
        <f>IF(OR(B175="",C175="",D175=""),"",IF(C175=D175,"ใช่","ไม่"))</f>
        <v/>
      </c>
      <c r="F175" s="4" t="n"/>
    </row>
    <row r="176" ht="15" customHeight="1" s="35">
      <c r="A176" s="23" t="n"/>
      <c r="B176" s="11" t="n"/>
      <c r="C176" s="11" t="n"/>
      <c r="D176" s="11" t="n"/>
      <c r="E176" s="4">
        <f>IF(OR(B176="",C176="",D176=""),"",IF(C176=D176,"ใช่","ไม่"))</f>
        <v/>
      </c>
      <c r="F176" s="4" t="n"/>
    </row>
    <row r="177" ht="15" customHeight="1" s="35">
      <c r="A177" s="23" t="n"/>
      <c r="B177" s="11" t="n"/>
      <c r="C177" s="11" t="n"/>
      <c r="D177" s="11" t="n"/>
      <c r="E177" s="4">
        <f>IF(OR(B177="",C177="",D177=""),"",IF(C177=D177,"ใช่","ไม่"))</f>
        <v/>
      </c>
      <c r="F177" s="4" t="n"/>
    </row>
    <row r="178" ht="15" customHeight="1" s="35">
      <c r="A178" s="23" t="n"/>
      <c r="B178" s="11" t="n"/>
      <c r="C178" s="11" t="n"/>
      <c r="D178" s="11" t="n"/>
      <c r="E178" s="4">
        <f>IF(OR(B178="",C178="",D178=""),"",IF(C178=D178,"ใช่","ไม่"))</f>
        <v/>
      </c>
      <c r="F178" s="4" t="n"/>
    </row>
    <row r="179" ht="15" customHeight="1" s="35">
      <c r="A179" s="23" t="n"/>
      <c r="B179" s="11" t="n"/>
      <c r="C179" s="11" t="n"/>
      <c r="D179" s="11" t="n"/>
      <c r="E179" s="4">
        <f>IF(OR(B179="",C179="",D179=""),"",IF(C179=D179,"ใช่","ไม่"))</f>
        <v/>
      </c>
      <c r="F179" s="4" t="n"/>
    </row>
    <row r="180" ht="15" customHeight="1" s="35">
      <c r="A180" s="23" t="n"/>
      <c r="B180" s="11" t="n"/>
      <c r="C180" s="11" t="n"/>
      <c r="D180" s="11" t="n"/>
      <c r="E180" s="4">
        <f>IF(OR(B180="",C180="",D180=""),"",IF(C180=D180,"ใช่","ไม่"))</f>
        <v/>
      </c>
      <c r="F180" s="4" t="n"/>
    </row>
    <row r="181" ht="15" customHeight="1" s="35">
      <c r="A181" s="23" t="n"/>
      <c r="B181" s="11" t="n"/>
      <c r="C181" s="11" t="n"/>
      <c r="D181" s="11" t="n"/>
      <c r="E181" s="4">
        <f>IF(OR(B181="",C181="",D181=""),"",IF(C181=D181,"ใช่","ไม่"))</f>
        <v/>
      </c>
      <c r="F181" s="4" t="n"/>
    </row>
    <row r="182" ht="15" customHeight="1" s="35">
      <c r="A182" s="23" t="n"/>
      <c r="B182" s="11" t="n"/>
      <c r="C182" s="11" t="n"/>
      <c r="D182" s="11" t="n"/>
      <c r="E182" s="4">
        <f>IF(OR(B182="",C182="",D182=""),"",IF(C182=D182,"ใช่","ไม่"))</f>
        <v/>
      </c>
      <c r="F182" s="4" t="n"/>
    </row>
    <row r="183" ht="15" customHeight="1" s="35">
      <c r="A183" s="23" t="n"/>
      <c r="B183" s="11" t="n"/>
      <c r="C183" s="11" t="n"/>
      <c r="D183" s="11" t="n"/>
      <c r="E183" s="4">
        <f>IF(OR(B183="",C183="",D183=""),"",IF(C183=D183,"ใช่","ไม่"))</f>
        <v/>
      </c>
      <c r="F183" s="4" t="n"/>
    </row>
    <row r="184" ht="15" customHeight="1" s="35">
      <c r="A184" s="23" t="n"/>
      <c r="B184" s="11" t="n"/>
      <c r="C184" s="11" t="n"/>
      <c r="D184" s="11" t="n"/>
      <c r="E184" s="4">
        <f>IF(OR(B184="",C184="",D184=""),"",IF(C184=D184,"ใช่","ไม่"))</f>
        <v/>
      </c>
      <c r="F184" s="4" t="n"/>
    </row>
    <row r="185" ht="15" customHeight="1" s="35">
      <c r="A185" s="23" t="n"/>
      <c r="B185" s="11" t="n"/>
      <c r="C185" s="11" t="n"/>
      <c r="D185" s="11" t="n"/>
      <c r="E185" s="4">
        <f>IF(OR(B185="",C185="",D185=""),"",IF(C185=D185,"ใช่","ไม่"))</f>
        <v/>
      </c>
      <c r="F185" s="4" t="n"/>
    </row>
    <row r="186" ht="15" customHeight="1" s="35">
      <c r="A186" s="23" t="n"/>
      <c r="B186" s="11" t="n"/>
      <c r="C186" s="11" t="n"/>
      <c r="D186" s="11" t="n"/>
      <c r="E186" s="4">
        <f>IF(OR(B186="",C186="",D186=""),"",IF(C186=D186,"ใช่","ไม่"))</f>
        <v/>
      </c>
      <c r="F186" s="4" t="n"/>
    </row>
    <row r="187" ht="15" customHeight="1" s="35">
      <c r="A187" s="23" t="n"/>
      <c r="B187" s="11" t="n"/>
      <c r="C187" s="11" t="n"/>
      <c r="D187" s="11" t="n"/>
      <c r="E187" s="4">
        <f>IF(OR(B187="",C187="",D187=""),"",IF(C187=D187,"ใช่","ไม่"))</f>
        <v/>
      </c>
      <c r="F187" s="4" t="n"/>
    </row>
    <row r="188" ht="15" customHeight="1" s="35">
      <c r="A188" s="23" t="n"/>
      <c r="B188" s="11" t="n"/>
      <c r="C188" s="11" t="n"/>
      <c r="D188" s="11" t="n"/>
      <c r="E188" s="4">
        <f>IF(OR(B188="",C188="",D188=""),"",IF(C188=D188,"ใช่","ไม่"))</f>
        <v/>
      </c>
      <c r="F188" s="4" t="n"/>
    </row>
    <row r="189" ht="15" customHeight="1" s="35">
      <c r="A189" s="23" t="n"/>
      <c r="B189" s="11" t="n"/>
      <c r="C189" s="11" t="n"/>
      <c r="D189" s="11" t="n"/>
      <c r="E189" s="4">
        <f>IF(OR(B189="",C189="",D189=""),"",IF(C189=D189,"ใช่","ไม่"))</f>
        <v/>
      </c>
      <c r="F189" s="4" t="n"/>
    </row>
    <row r="190" ht="15" customHeight="1" s="35">
      <c r="A190" s="23" t="n"/>
      <c r="B190" s="11" t="n"/>
      <c r="C190" s="11" t="n"/>
      <c r="D190" s="11" t="n"/>
      <c r="E190" s="4">
        <f>IF(OR(B190="",C190="",D190=""),"",IF(C190=D190,"ใช่","ไม่"))</f>
        <v/>
      </c>
      <c r="F190" s="4" t="n"/>
    </row>
    <row r="191" ht="15" customHeight="1" s="35">
      <c r="A191" s="23" t="n"/>
      <c r="B191" s="11" t="n"/>
      <c r="C191" s="11" t="n"/>
      <c r="D191" s="11" t="n"/>
      <c r="E191" s="4">
        <f>IF(OR(B191="",C191="",D191=""),"",IF(C191=D191,"ใช่","ไม่"))</f>
        <v/>
      </c>
      <c r="F191" s="4" t="n"/>
    </row>
    <row r="192" ht="15" customHeight="1" s="35">
      <c r="A192" s="23" t="n"/>
      <c r="B192" s="11" t="n"/>
      <c r="C192" s="11" t="n"/>
      <c r="D192" s="11" t="n"/>
      <c r="E192" s="4">
        <f>IF(OR(B192="",C192="",D192=""),"",IF(C192=D192,"ใช่","ไม่"))</f>
        <v/>
      </c>
      <c r="F192" s="4" t="n"/>
    </row>
    <row r="193" ht="15" customHeight="1" s="35">
      <c r="A193" s="23" t="n"/>
      <c r="B193" s="11" t="n"/>
      <c r="C193" s="11" t="n"/>
      <c r="D193" s="11" t="n"/>
      <c r="E193" s="4">
        <f>IF(OR(B193="",C193="",D193=""),"",IF(C193=D193,"ใช่","ไม่"))</f>
        <v/>
      </c>
      <c r="F193" s="4" t="n"/>
    </row>
    <row r="194" ht="15" customHeight="1" s="35">
      <c r="A194" s="23" t="n"/>
      <c r="B194" s="11" t="n"/>
      <c r="C194" s="11" t="n"/>
      <c r="D194" s="11" t="n"/>
      <c r="E194" s="4">
        <f>IF(OR(B194="",C194="",D194=""),"",IF(C194=D194,"ใช่","ไม่"))</f>
        <v/>
      </c>
      <c r="F194" s="4" t="n"/>
    </row>
    <row r="195" ht="15" customHeight="1" s="35">
      <c r="A195" s="23" t="n"/>
      <c r="B195" s="11" t="n"/>
      <c r="C195" s="11" t="n"/>
      <c r="D195" s="11" t="n"/>
      <c r="E195" s="4">
        <f>IF(OR(B195="",C195="",D195=""),"",IF(C195=D195,"ใช่","ไม่"))</f>
        <v/>
      </c>
      <c r="F195" s="4" t="n"/>
    </row>
    <row r="196" ht="15" customHeight="1" s="35">
      <c r="A196" s="23" t="n"/>
      <c r="B196" s="11" t="n"/>
      <c r="C196" s="11" t="n"/>
      <c r="D196" s="11" t="n"/>
      <c r="E196" s="4">
        <f>IF(OR(B196="",C196="",D196=""),"",IF(C196=D196,"ใช่","ไม่"))</f>
        <v/>
      </c>
      <c r="F196" s="4" t="n"/>
    </row>
    <row r="197" ht="15" customHeight="1" s="35">
      <c r="A197" s="23" t="n"/>
      <c r="B197" s="11" t="n"/>
      <c r="C197" s="11" t="n"/>
      <c r="D197" s="11" t="n"/>
      <c r="E197" s="4">
        <f>IF(OR(B197="",C197="",D197=""),"",IF(C197=D197,"ใช่","ไม่"))</f>
        <v/>
      </c>
      <c r="F197" s="4" t="n"/>
    </row>
    <row r="198" ht="15" customHeight="1" s="35">
      <c r="A198" s="23" t="n"/>
      <c r="B198" s="11" t="n"/>
      <c r="C198" s="11" t="n"/>
      <c r="D198" s="11" t="n"/>
      <c r="E198" s="4">
        <f>IF(OR(B198="",C198="",D198=""),"",IF(C198=D198,"ใช่","ไม่"))</f>
        <v/>
      </c>
      <c r="F198" s="4" t="n"/>
    </row>
    <row r="199" ht="15" customHeight="1" s="35">
      <c r="A199" s="23" t="n"/>
      <c r="B199" s="11" t="n"/>
      <c r="C199" s="11" t="n"/>
      <c r="D199" s="11" t="n"/>
      <c r="E199" s="4">
        <f>IF(OR(B199="",C199="",D199=""),"",IF(C199=D199,"ใช่","ไม่"))</f>
        <v/>
      </c>
      <c r="F199" s="4" t="n"/>
    </row>
    <row r="200" ht="15" customHeight="1" s="35">
      <c r="A200" s="23" t="n"/>
      <c r="B200" s="11" t="n"/>
      <c r="C200" s="11" t="n"/>
      <c r="D200" s="11" t="n"/>
      <c r="E200" s="4">
        <f>IF(OR(B200="",C200="",D200=""),"",IF(C200=D200,"ใช่","ไม่"))</f>
        <v/>
      </c>
      <c r="F200" s="4" t="n"/>
    </row>
    <row r="201" ht="15" customHeight="1" s="35">
      <c r="A201" s="23" t="n"/>
      <c r="B201" s="11" t="n"/>
      <c r="C201" s="11" t="n"/>
      <c r="D201" s="11" t="n"/>
      <c r="E201" s="4">
        <f>IF(OR(B201="",C201="",D201=""),"",IF(C201=D201,"ใช่","ไม่"))</f>
        <v/>
      </c>
      <c r="F201" s="4" t="n"/>
    </row>
    <row r="202" ht="15" customHeight="1" s="35">
      <c r="A202" s="23" t="n"/>
      <c r="B202" s="11" t="n"/>
      <c r="C202" s="11" t="n"/>
      <c r="D202" s="11" t="n"/>
      <c r="E202" s="4">
        <f>IF(OR(B202="",C202="",D202=""),"",IF(C202=D202,"ใช่","ไม่"))</f>
        <v/>
      </c>
      <c r="F202" s="4" t="n"/>
    </row>
    <row r="203" ht="15" customHeight="1" s="35">
      <c r="A203" s="23" t="n"/>
      <c r="B203" s="11" t="n"/>
      <c r="C203" s="11" t="n"/>
      <c r="D203" s="11" t="n"/>
      <c r="E203" s="4">
        <f>IF(OR(B203="",C203="",D203=""),"",IF(C203=D203,"ใช่","ไม่"))</f>
        <v/>
      </c>
      <c r="F203" s="4" t="n"/>
    </row>
    <row r="204" ht="15" customHeight="1" s="35">
      <c r="A204" s="23" t="n"/>
      <c r="B204" s="11" t="n"/>
      <c r="C204" s="11" t="n"/>
      <c r="D204" s="11" t="n"/>
      <c r="E204" s="4">
        <f>IF(OR(B204="",C204="",D204=""),"",IF(C204=D204,"ใช่","ไม่"))</f>
        <v/>
      </c>
      <c r="F204" s="4" t="n"/>
    </row>
    <row r="205" ht="15" customHeight="1" s="35">
      <c r="A205" s="23" t="n"/>
      <c r="B205" s="11" t="n"/>
      <c r="C205" s="11" t="n"/>
      <c r="D205" s="11" t="n"/>
      <c r="E205" s="4">
        <f>IF(OR(B205="",C205="",D205=""),"",IF(C205=D205,"ใช่","ไม่"))</f>
        <v/>
      </c>
      <c r="F205" s="4" t="n"/>
    </row>
    <row r="206" ht="15" customHeight="1" s="35">
      <c r="A206" s="23" t="n"/>
      <c r="B206" s="11" t="n"/>
      <c r="C206" s="11" t="n"/>
      <c r="D206" s="11" t="n"/>
      <c r="E206" s="4">
        <f>IF(OR(B206="",C206="",D206=""),"",IF(C206=D206,"ใช่","ไม่"))</f>
        <v/>
      </c>
      <c r="F206" s="4" t="n"/>
    </row>
    <row r="207" ht="15" customHeight="1" s="35">
      <c r="A207" s="23" t="n"/>
      <c r="B207" s="11" t="n"/>
      <c r="C207" s="11" t="n"/>
      <c r="D207" s="11" t="n"/>
      <c r="E207" s="4">
        <f>IF(OR(B207="",C207="",D207=""),"",IF(C207=D207,"ใช่","ไม่"))</f>
        <v/>
      </c>
      <c r="F207" s="4" t="n"/>
    </row>
    <row r="208" ht="15" customHeight="1" s="35">
      <c r="A208" s="23" t="n"/>
      <c r="B208" s="11" t="n"/>
      <c r="C208" s="11" t="n"/>
      <c r="D208" s="11" t="n"/>
      <c r="E208" s="4">
        <f>IF(OR(B208="",C208="",D208=""),"",IF(C208=D208,"ใช่","ไม่"))</f>
        <v/>
      </c>
      <c r="F208" s="4" t="n"/>
    </row>
    <row r="209" ht="15" customHeight="1" s="35">
      <c r="A209" s="23" t="n"/>
      <c r="B209" s="11" t="n"/>
      <c r="C209" s="11" t="n"/>
      <c r="D209" s="11" t="n"/>
      <c r="E209" s="4">
        <f>IF(OR(B209="",C209="",D209=""),"",IF(C209=D209,"ใช่","ไม่"))</f>
        <v/>
      </c>
      <c r="F209" s="4" t="n"/>
    </row>
    <row r="210" ht="15" customHeight="1" s="35">
      <c r="A210" s="23" t="n"/>
      <c r="B210" s="11" t="n"/>
      <c r="C210" s="11" t="n"/>
      <c r="D210" s="11" t="n"/>
      <c r="E210" s="4">
        <f>IF(OR(B210="",C210="",D210=""),"",IF(C210=D210,"ใช่","ไม่"))</f>
        <v/>
      </c>
      <c r="F210" s="4" t="n"/>
    </row>
    <row r="211" ht="15" customHeight="1" s="35">
      <c r="A211" s="23" t="n"/>
      <c r="B211" s="11" t="n"/>
      <c r="C211" s="11" t="n"/>
      <c r="D211" s="11" t="n"/>
      <c r="E211" s="4">
        <f>IF(OR(B211="",C211="",D211=""),"",IF(C211=D211,"ใช่","ไม่"))</f>
        <v/>
      </c>
      <c r="F211" s="4" t="n"/>
    </row>
    <row r="212" ht="15" customHeight="1" s="35">
      <c r="A212" s="23" t="n"/>
      <c r="B212" s="11" t="n"/>
      <c r="C212" s="11" t="n"/>
      <c r="D212" s="11" t="n"/>
      <c r="E212" s="4">
        <f>IF(OR(B212="",C212="",D212=""),"",IF(C212=D212,"ใช่","ไม่"))</f>
        <v/>
      </c>
      <c r="F212" s="4" t="n"/>
    </row>
    <row r="213" ht="15" customHeight="1" s="35">
      <c r="A213" s="23" t="n"/>
      <c r="B213" s="11" t="n"/>
      <c r="C213" s="11" t="n"/>
      <c r="D213" s="11" t="n"/>
      <c r="E213" s="4">
        <f>IF(OR(B213="",C213="",D213=""),"",IF(C213=D213,"ใช่","ไม่"))</f>
        <v/>
      </c>
      <c r="F213" s="4" t="n"/>
    </row>
    <row r="214" ht="15" customHeight="1" s="35">
      <c r="A214" s="23" t="n"/>
      <c r="B214" s="11" t="n"/>
      <c r="C214" s="11" t="n"/>
      <c r="D214" s="11" t="n"/>
      <c r="E214" s="4">
        <f>IF(OR(B214="",C214="",D214=""),"",IF(C214=D214,"ใช่","ไม่"))</f>
        <v/>
      </c>
      <c r="F214" s="4" t="n"/>
    </row>
    <row r="215" ht="15" customHeight="1" s="35">
      <c r="A215" s="23" t="n"/>
      <c r="B215" s="11" t="n"/>
      <c r="C215" s="11" t="n"/>
      <c r="D215" s="11" t="n"/>
      <c r="E215" s="4">
        <f>IF(OR(B215="",C215="",D215=""),"",IF(C215=D215,"ใช่","ไม่"))</f>
        <v/>
      </c>
      <c r="F215" s="4" t="n"/>
    </row>
    <row r="216" ht="15" customHeight="1" s="35">
      <c r="A216" s="23" t="n"/>
      <c r="B216" s="11" t="n"/>
      <c r="C216" s="11" t="n"/>
      <c r="D216" s="11" t="n"/>
      <c r="E216" s="4">
        <f>IF(OR(B216="",C216="",D216=""),"",IF(C216=D216,"ใช่","ไม่"))</f>
        <v/>
      </c>
      <c r="F216" s="4" t="n"/>
    </row>
    <row r="217" ht="15" customHeight="1" s="35">
      <c r="A217" s="23" t="n"/>
      <c r="B217" s="11" t="n"/>
      <c r="C217" s="11" t="n"/>
      <c r="D217" s="11" t="n"/>
      <c r="E217" s="4">
        <f>IF(OR(B217="",C217="",D217=""),"",IF(C217=D217,"ใช่","ไม่"))</f>
        <v/>
      </c>
      <c r="F217" s="4" t="n"/>
    </row>
    <row r="218" ht="15" customHeight="1" s="35">
      <c r="A218" s="23" t="n"/>
      <c r="B218" s="11" t="n"/>
      <c r="C218" s="11" t="n"/>
      <c r="D218" s="11" t="n"/>
      <c r="E218" s="4">
        <f>IF(OR(B218="",C218="",D218=""),"",IF(C218=D218,"ใช่","ไม่"))</f>
        <v/>
      </c>
      <c r="F218" s="4" t="n"/>
    </row>
    <row r="219" ht="15" customHeight="1" s="35">
      <c r="A219" s="23" t="n"/>
      <c r="B219" s="11" t="n"/>
      <c r="C219" s="11" t="n"/>
      <c r="D219" s="11" t="n"/>
      <c r="E219" s="4">
        <f>IF(OR(B219="",C219="",D219=""),"",IF(C219=D219,"ใช่","ไม่"))</f>
        <v/>
      </c>
      <c r="F219" s="4" t="n"/>
    </row>
    <row r="220" ht="15" customHeight="1" s="35">
      <c r="A220" s="23" t="n"/>
      <c r="B220" s="11" t="n"/>
      <c r="C220" s="11" t="n"/>
      <c r="D220" s="11" t="n"/>
      <c r="E220" s="4">
        <f>IF(OR(B220="",C220="",D220=""),"",IF(C220=D220,"ใช่","ไม่"))</f>
        <v/>
      </c>
      <c r="F220" s="4" t="n"/>
    </row>
    <row r="221" ht="15" customHeight="1" s="35">
      <c r="A221" s="23" t="n"/>
      <c r="B221" s="11" t="n"/>
      <c r="C221" s="11" t="n"/>
      <c r="D221" s="11" t="n"/>
      <c r="E221" s="4">
        <f>IF(OR(B221="",C221="",D221=""),"",IF(C221=D221,"ใช่","ไม่"))</f>
        <v/>
      </c>
      <c r="F221" s="4" t="n"/>
    </row>
    <row r="222" ht="15" customHeight="1" s="35">
      <c r="A222" s="23" t="n"/>
      <c r="B222" s="11" t="n"/>
      <c r="C222" s="11" t="n"/>
      <c r="D222" s="11" t="n"/>
      <c r="E222" s="4">
        <f>IF(OR(B222="",C222="",D222=""),"",IF(C222=D222,"ใช่","ไม่"))</f>
        <v/>
      </c>
      <c r="F222" s="4" t="n"/>
    </row>
    <row r="223" ht="15" customHeight="1" s="35">
      <c r="A223" s="23" t="n"/>
      <c r="B223" s="11" t="n"/>
      <c r="C223" s="11" t="n"/>
      <c r="D223" s="11" t="n"/>
      <c r="E223" s="4">
        <f>IF(OR(B223="",C223="",D223=""),"",IF(C223=D223,"ใช่","ไม่"))</f>
        <v/>
      </c>
      <c r="F223" s="4" t="n"/>
    </row>
    <row r="224" ht="15" customHeight="1" s="35">
      <c r="A224" s="23" t="n"/>
      <c r="B224" s="11" t="n"/>
      <c r="C224" s="11" t="n"/>
      <c r="D224" s="11" t="n"/>
      <c r="E224" s="4">
        <f>IF(OR(B224="",C224="",D224=""),"",IF(C224=D224,"ใช่","ไม่"))</f>
        <v/>
      </c>
      <c r="F224" s="4" t="n"/>
    </row>
    <row r="225" ht="15" customHeight="1" s="35">
      <c r="A225" s="23" t="n"/>
      <c r="B225" s="11" t="n"/>
      <c r="C225" s="11" t="n"/>
      <c r="D225" s="11" t="n"/>
      <c r="E225" s="4">
        <f>IF(OR(B225="",C225="",D225=""),"",IF(C225=D225,"ใช่","ไม่"))</f>
        <v/>
      </c>
      <c r="F225" s="4" t="n"/>
    </row>
    <row r="226" ht="15" customHeight="1" s="35">
      <c r="A226" s="23" t="n"/>
      <c r="B226" s="11" t="n"/>
      <c r="C226" s="11" t="n"/>
      <c r="D226" s="11" t="n"/>
      <c r="E226" s="4">
        <f>IF(OR(B226="",C226="",D226=""),"",IF(C226=D226,"ใช่","ไม่"))</f>
        <v/>
      </c>
      <c r="F226" s="4" t="n"/>
    </row>
    <row r="227" ht="15" customHeight="1" s="35">
      <c r="A227" s="23" t="n"/>
      <c r="B227" s="11" t="n"/>
      <c r="C227" s="11" t="n"/>
      <c r="D227" s="11" t="n"/>
      <c r="E227" s="4">
        <f>IF(OR(B227="",C227="",D227=""),"",IF(C227=D227,"ใช่","ไม่"))</f>
        <v/>
      </c>
      <c r="F227" s="4" t="n"/>
    </row>
    <row r="228" ht="15" customHeight="1" s="35">
      <c r="A228" s="23" t="n"/>
      <c r="B228" s="11" t="n"/>
      <c r="C228" s="11" t="n"/>
      <c r="D228" s="11" t="n"/>
      <c r="E228" s="4">
        <f>IF(OR(B228="",C228="",D228=""),"",IF(C228=D228,"ใช่","ไม่"))</f>
        <v/>
      </c>
      <c r="F228" s="4" t="n"/>
    </row>
    <row r="229" ht="15" customHeight="1" s="35">
      <c r="A229" s="23" t="n"/>
      <c r="B229" s="11" t="n"/>
      <c r="C229" s="11" t="n"/>
      <c r="D229" s="11" t="n"/>
      <c r="E229" s="4">
        <f>IF(OR(B229="",C229="",D229=""),"",IF(C229=D229,"ใช่","ไม่"))</f>
        <v/>
      </c>
      <c r="F229" s="4" t="n"/>
    </row>
    <row r="230" ht="15" customHeight="1" s="35">
      <c r="A230" s="23" t="n"/>
      <c r="B230" s="11" t="n"/>
      <c r="C230" s="11" t="n"/>
      <c r="D230" s="11" t="n"/>
      <c r="E230" s="4">
        <f>IF(OR(B230="",C230="",D230=""),"",IF(C230=D230,"ใช่","ไม่"))</f>
        <v/>
      </c>
      <c r="F230" s="4" t="n"/>
    </row>
    <row r="231" ht="15" customHeight="1" s="35">
      <c r="A231" s="23" t="n"/>
      <c r="B231" s="11" t="n"/>
      <c r="C231" s="11" t="n"/>
      <c r="D231" s="11" t="n"/>
      <c r="E231" s="4">
        <f>IF(OR(B231="",C231="",D231=""),"",IF(C231=D231,"ใช่","ไม่"))</f>
        <v/>
      </c>
      <c r="F231" s="4" t="n"/>
    </row>
    <row r="232" ht="15" customHeight="1" s="35">
      <c r="A232" s="23" t="n"/>
      <c r="B232" s="11" t="n"/>
      <c r="C232" s="11" t="n"/>
      <c r="D232" s="11" t="n"/>
      <c r="E232" s="4">
        <f>IF(OR(B232="",C232="",D232=""),"",IF(C232=D232,"ใช่","ไม่"))</f>
        <v/>
      </c>
      <c r="F232" s="4" t="n"/>
    </row>
    <row r="233" ht="15" customHeight="1" s="35">
      <c r="A233" s="23" t="n"/>
      <c r="B233" s="11" t="n"/>
      <c r="C233" s="11" t="n"/>
      <c r="D233" s="11" t="n"/>
      <c r="E233" s="4">
        <f>IF(OR(B233="",C233="",D233=""),"",IF(C233=D233,"ใช่","ไม่"))</f>
        <v/>
      </c>
      <c r="F233" s="4" t="n"/>
    </row>
    <row r="234" ht="15" customHeight="1" s="35">
      <c r="A234" s="23" t="n"/>
      <c r="B234" s="11" t="n"/>
      <c r="C234" s="11" t="n"/>
      <c r="D234" s="11" t="n"/>
      <c r="E234" s="4">
        <f>IF(OR(B234="",C234="",D234=""),"",IF(C234=D234,"ใช่","ไม่"))</f>
        <v/>
      </c>
      <c r="F234" s="4" t="n"/>
    </row>
    <row r="235" ht="15" customHeight="1" s="35">
      <c r="A235" s="23" t="n"/>
      <c r="B235" s="11" t="n"/>
      <c r="C235" s="11" t="n"/>
      <c r="D235" s="11" t="n"/>
      <c r="E235" s="4">
        <f>IF(OR(B235="",C235="",D235=""),"",IF(C235=D235,"ใช่","ไม่"))</f>
        <v/>
      </c>
      <c r="F235" s="4" t="n"/>
    </row>
    <row r="236" ht="15" customHeight="1" s="35">
      <c r="A236" s="23" t="n"/>
      <c r="B236" s="11" t="n"/>
      <c r="C236" s="11" t="n"/>
      <c r="D236" s="11" t="n"/>
      <c r="E236" s="4">
        <f>IF(OR(B236="",C236="",D236=""),"",IF(C236=D236,"ใช่","ไม่"))</f>
        <v/>
      </c>
      <c r="F236" s="4" t="n"/>
    </row>
    <row r="237" ht="15" customHeight="1" s="35">
      <c r="A237" s="23" t="n"/>
      <c r="B237" s="11" t="n"/>
      <c r="C237" s="11" t="n"/>
      <c r="D237" s="11" t="n"/>
      <c r="E237" s="4">
        <f>IF(OR(B237="",C237="",D237=""),"",IF(C237=D237,"ใช่","ไม่"))</f>
        <v/>
      </c>
      <c r="F237" s="4" t="n"/>
    </row>
    <row r="238" ht="15" customHeight="1" s="35">
      <c r="A238" s="23" t="n"/>
      <c r="B238" s="11" t="n"/>
      <c r="C238" s="11" t="n"/>
      <c r="D238" s="11" t="n"/>
      <c r="E238" s="4">
        <f>IF(OR(B238="",C238="",D238=""),"",IF(C238=D238,"ใช่","ไม่"))</f>
        <v/>
      </c>
      <c r="F238" s="4" t="n"/>
    </row>
    <row r="239" ht="15" customHeight="1" s="35">
      <c r="A239" s="23" t="n"/>
      <c r="B239" s="11" t="n"/>
      <c r="C239" s="11" t="n"/>
      <c r="D239" s="11" t="n"/>
      <c r="E239" s="4">
        <f>IF(OR(B239="",C239="",D239=""),"",IF(C239=D239,"ใช่","ไม่"))</f>
        <v/>
      </c>
      <c r="F239" s="4" t="n"/>
    </row>
    <row r="240" ht="15" customHeight="1" s="35">
      <c r="A240" s="23" t="n"/>
      <c r="B240" s="11" t="n"/>
      <c r="C240" s="11" t="n"/>
      <c r="D240" s="11" t="n"/>
      <c r="E240" s="4">
        <f>IF(OR(B240="",C240="",D240=""),"",IF(C240=D240,"ใช่","ไม่"))</f>
        <v/>
      </c>
      <c r="F240" s="4" t="n"/>
    </row>
    <row r="241" ht="15" customHeight="1" s="35">
      <c r="A241" s="23" t="n"/>
      <c r="B241" s="11" t="n"/>
      <c r="C241" s="11" t="n"/>
      <c r="D241" s="11" t="n"/>
      <c r="E241" s="4">
        <f>IF(OR(B241="",C241="",D241=""),"",IF(C241=D241,"ใช่","ไม่"))</f>
        <v/>
      </c>
      <c r="F241" s="4" t="n"/>
    </row>
    <row r="242" ht="15" customHeight="1" s="35">
      <c r="A242" s="23" t="n"/>
      <c r="B242" s="11" t="n"/>
      <c r="C242" s="11" t="n"/>
      <c r="D242" s="11" t="n"/>
      <c r="E242" s="4">
        <f>IF(OR(B242="",C242="",D242=""),"",IF(C242=D242,"ใช่","ไม่"))</f>
        <v/>
      </c>
      <c r="F242" s="4" t="n"/>
    </row>
    <row r="243" ht="15" customHeight="1" s="35">
      <c r="A243" s="23" t="n"/>
      <c r="B243" s="11" t="n"/>
      <c r="C243" s="11" t="n"/>
      <c r="D243" s="11" t="n"/>
      <c r="E243" s="4">
        <f>IF(OR(B243="",C243="",D243=""),"",IF(C243=D243,"ใช่","ไม่"))</f>
        <v/>
      </c>
      <c r="F243" s="4" t="n"/>
    </row>
    <row r="244" ht="15" customHeight="1" s="35">
      <c r="A244" s="23" t="n"/>
      <c r="B244" s="11" t="n"/>
      <c r="C244" s="11" t="n"/>
      <c r="D244" s="11" t="n"/>
      <c r="E244" s="4">
        <f>IF(OR(B244="",C244="",D244=""),"",IF(C244=D244,"ใช่","ไม่"))</f>
        <v/>
      </c>
      <c r="F244" s="4" t="n"/>
    </row>
    <row r="245" ht="15" customHeight="1" s="35">
      <c r="A245" s="23" t="n"/>
      <c r="B245" s="11" t="n"/>
      <c r="C245" s="11" t="n"/>
      <c r="D245" s="11" t="n"/>
      <c r="E245" s="4">
        <f>IF(OR(B245="",C245="",D245=""),"",IF(C245=D245,"ใช่","ไม่"))</f>
        <v/>
      </c>
      <c r="F245" s="4" t="n"/>
    </row>
    <row r="246" ht="15" customHeight="1" s="35">
      <c r="A246" s="23" t="n"/>
      <c r="B246" s="11" t="n"/>
      <c r="C246" s="11" t="n"/>
      <c r="D246" s="11" t="n"/>
      <c r="E246" s="4">
        <f>IF(OR(B246="",C246="",D246=""),"",IF(C246=D246,"ใช่","ไม่"))</f>
        <v/>
      </c>
      <c r="F246" s="4" t="n"/>
    </row>
    <row r="247" ht="15" customHeight="1" s="35">
      <c r="A247" s="23" t="n"/>
      <c r="B247" s="11" t="n"/>
      <c r="C247" s="11" t="n"/>
      <c r="D247" s="11" t="n"/>
      <c r="E247" s="4">
        <f>IF(OR(B247="",C247="",D247=""),"",IF(C247=D247,"ใช่","ไม่"))</f>
        <v/>
      </c>
      <c r="F247" s="4" t="n"/>
    </row>
    <row r="248" ht="15" customHeight="1" s="35">
      <c r="A248" s="23" t="n"/>
      <c r="B248" s="11" t="n"/>
      <c r="C248" s="11" t="n"/>
      <c r="D248" s="11" t="n"/>
      <c r="E248" s="4">
        <f>IF(OR(B248="",C248="",D248=""),"",IF(C248=D248,"ใช่","ไม่"))</f>
        <v/>
      </c>
      <c r="F248" s="4" t="n"/>
    </row>
    <row r="249" ht="15" customHeight="1" s="35">
      <c r="A249" s="23" t="n"/>
      <c r="B249" s="11" t="n"/>
      <c r="C249" s="11" t="n"/>
      <c r="D249" s="11" t="n"/>
      <c r="E249" s="4">
        <f>IF(OR(B249="",C249="",D249=""),"",IF(C249=D249,"ใช่","ไม่"))</f>
        <v/>
      </c>
      <c r="F249" s="4" t="n"/>
    </row>
    <row r="250" ht="15" customHeight="1" s="35">
      <c r="A250" s="23" t="n"/>
      <c r="B250" s="11" t="n"/>
      <c r="C250" s="11" t="n"/>
      <c r="D250" s="11" t="n"/>
      <c r="E250" s="4">
        <f>IF(OR(B250="",C250="",D250=""),"",IF(C250=D250,"ใช่","ไม่"))</f>
        <v/>
      </c>
      <c r="F250" s="4" t="n"/>
    </row>
    <row r="251" ht="15" customHeight="1" s="35">
      <c r="A251" s="23" t="n"/>
      <c r="B251" s="11" t="n"/>
      <c r="C251" s="11" t="n"/>
      <c r="D251" s="11" t="n"/>
      <c r="E251" s="4">
        <f>IF(OR(B251="",C251="",D251=""),"",IF(C251=D251,"ใช่","ไม่"))</f>
        <v/>
      </c>
      <c r="F251" s="4" t="n"/>
    </row>
    <row r="252" ht="15" customHeight="1" s="35">
      <c r="A252" s="23" t="n"/>
      <c r="B252" s="11" t="n"/>
      <c r="C252" s="11" t="n"/>
      <c r="D252" s="11" t="n"/>
      <c r="E252" s="4">
        <f>IF(OR(B252="",C252="",D252=""),"",IF(C252=D252,"ใช่","ไม่"))</f>
        <v/>
      </c>
      <c r="F252" s="4" t="n"/>
    </row>
    <row r="253" ht="15" customHeight="1" s="35">
      <c r="A253" s="23" t="n"/>
      <c r="B253" s="11" t="n"/>
      <c r="C253" s="11" t="n"/>
      <c r="D253" s="11" t="n"/>
      <c r="E253" s="4">
        <f>IF(OR(B253="",C253="",D253=""),"",IF(C253=D253,"ใช่","ไม่"))</f>
        <v/>
      </c>
      <c r="F253" s="4" t="n"/>
    </row>
    <row r="254" ht="15" customHeight="1" s="35">
      <c r="A254" s="23" t="n"/>
      <c r="B254" s="11" t="n"/>
      <c r="C254" s="11" t="n"/>
      <c r="D254" s="11" t="n"/>
      <c r="E254" s="4">
        <f>IF(OR(B254="",C254="",D254=""),"",IF(C254=D254,"ใช่","ไม่"))</f>
        <v/>
      </c>
      <c r="F254" s="4" t="n"/>
    </row>
    <row r="255" ht="15" customHeight="1" s="35">
      <c r="A255" s="23" t="n"/>
      <c r="B255" s="11" t="n"/>
      <c r="C255" s="11" t="n"/>
      <c r="D255" s="11" t="n"/>
      <c r="E255" s="4">
        <f>IF(OR(B255="",C255="",D255=""),"",IF(C255=D255,"ใช่","ไม่"))</f>
        <v/>
      </c>
      <c r="F255" s="4" t="n"/>
    </row>
    <row r="256" ht="15" customHeight="1" s="35">
      <c r="A256" s="23" t="n"/>
      <c r="B256" s="11" t="n"/>
      <c r="C256" s="11" t="n"/>
      <c r="D256" s="11" t="n"/>
      <c r="E256" s="4">
        <f>IF(OR(B256="",C256="",D256=""),"",IF(C256=D256,"ใช่","ไม่"))</f>
        <v/>
      </c>
      <c r="F256" s="4" t="n"/>
    </row>
    <row r="257" ht="15" customHeight="1" s="35">
      <c r="A257" s="23" t="n"/>
      <c r="B257" s="11" t="n"/>
      <c r="C257" s="11" t="n"/>
      <c r="D257" s="11" t="n"/>
      <c r="E257" s="4">
        <f>IF(OR(B257="",C257="",D257=""),"",IF(C257=D257,"ใช่","ไม่"))</f>
        <v/>
      </c>
      <c r="F257" s="4" t="n"/>
    </row>
    <row r="258" ht="15" customHeight="1" s="35">
      <c r="A258" s="23" t="n"/>
      <c r="B258" s="11" t="n"/>
      <c r="C258" s="11" t="n"/>
      <c r="D258" s="11" t="n"/>
      <c r="E258" s="4">
        <f>IF(OR(B258="",C258="",D258=""),"",IF(C258=D258,"ใช่","ไม่"))</f>
        <v/>
      </c>
      <c r="F258" s="4" t="n"/>
    </row>
    <row r="259" ht="15" customHeight="1" s="35">
      <c r="A259" s="23" t="n"/>
      <c r="B259" s="11" t="n"/>
      <c r="C259" s="11" t="n"/>
      <c r="D259" s="11" t="n"/>
      <c r="E259" s="4">
        <f>IF(OR(B259="",C259="",D259=""),"",IF(C259=D259,"ใช่","ไม่"))</f>
        <v/>
      </c>
      <c r="F259" s="4" t="n"/>
    </row>
    <row r="260" ht="15" customHeight="1" s="35">
      <c r="A260" s="23" t="n"/>
      <c r="B260" s="11" t="n"/>
      <c r="C260" s="11" t="n"/>
      <c r="D260" s="11" t="n"/>
      <c r="E260" s="4">
        <f>IF(OR(B260="",C260="",D260=""),"",IF(C260=D260,"ใช่","ไม่"))</f>
        <v/>
      </c>
      <c r="F260" s="4" t="n"/>
    </row>
    <row r="261" ht="15" customHeight="1" s="35">
      <c r="A261" s="23" t="n"/>
      <c r="B261" s="11" t="n"/>
      <c r="C261" s="11" t="n"/>
      <c r="D261" s="11" t="n"/>
      <c r="E261" s="4">
        <f>IF(OR(B261="",C261="",D261=""),"",IF(C261=D261,"ใช่","ไม่"))</f>
        <v/>
      </c>
      <c r="F261" s="4" t="n"/>
    </row>
    <row r="262" ht="15" customHeight="1" s="35">
      <c r="A262" s="23" t="n"/>
      <c r="B262" s="11" t="n"/>
      <c r="C262" s="11" t="n"/>
      <c r="D262" s="11" t="n"/>
      <c r="E262" s="4">
        <f>IF(OR(B262="",C262="",D262=""),"",IF(C262=D262,"ใช่","ไม่"))</f>
        <v/>
      </c>
      <c r="F262" s="4" t="n"/>
    </row>
    <row r="263" ht="15" customHeight="1" s="35">
      <c r="A263" s="23" t="n"/>
      <c r="B263" s="11" t="n"/>
      <c r="C263" s="11" t="n"/>
      <c r="D263" s="11" t="n"/>
      <c r="E263" s="4">
        <f>IF(OR(B263="",C263="",D263=""),"",IF(C263=D263,"ใช่","ไม่"))</f>
        <v/>
      </c>
      <c r="F263" s="4" t="n"/>
    </row>
    <row r="264" ht="15" customHeight="1" s="35">
      <c r="A264" s="23" t="n"/>
      <c r="B264" s="11" t="n"/>
      <c r="C264" s="11" t="n"/>
      <c r="D264" s="11" t="n"/>
      <c r="E264" s="4">
        <f>IF(OR(B264="",C264="",D264=""),"",IF(C264=D264,"ใช่","ไม่"))</f>
        <v/>
      </c>
      <c r="F264" s="4" t="n"/>
    </row>
    <row r="265" ht="15" customHeight="1" s="35">
      <c r="A265" s="23" t="n"/>
      <c r="B265" s="11" t="n"/>
      <c r="C265" s="11" t="n"/>
      <c r="D265" s="11" t="n"/>
      <c r="E265" s="4">
        <f>IF(OR(B265="",C265="",D265=""),"",IF(C265=D265,"ใช่","ไม่"))</f>
        <v/>
      </c>
      <c r="F265" s="4" t="n"/>
    </row>
    <row r="266" ht="15" customHeight="1" s="35">
      <c r="A266" s="23" t="n"/>
      <c r="B266" s="11" t="n"/>
      <c r="C266" s="11" t="n"/>
      <c r="D266" s="11" t="n"/>
      <c r="E266" s="4">
        <f>IF(OR(B266="",C266="",D266=""),"",IF(C266=D266,"ใช่","ไม่"))</f>
        <v/>
      </c>
      <c r="F266" s="4" t="n"/>
    </row>
    <row r="267" ht="15" customHeight="1" s="35">
      <c r="A267" s="23" t="n"/>
      <c r="B267" s="11" t="n"/>
      <c r="C267" s="11" t="n"/>
      <c r="D267" s="11" t="n"/>
      <c r="E267" s="4">
        <f>IF(OR(B267="",C267="",D267=""),"",IF(C267=D267,"ใช่","ไม่"))</f>
        <v/>
      </c>
      <c r="F267" s="4" t="n"/>
    </row>
    <row r="268" ht="15" customHeight="1" s="35">
      <c r="A268" s="23" t="n"/>
      <c r="B268" s="11" t="n"/>
      <c r="C268" s="11" t="n"/>
      <c r="D268" s="11" t="n"/>
      <c r="E268" s="4">
        <f>IF(OR(B268="",C268="",D268=""),"",IF(C268=D268,"ใช่","ไม่"))</f>
        <v/>
      </c>
      <c r="F268" s="4" t="n"/>
    </row>
    <row r="269" ht="15" customHeight="1" s="35">
      <c r="A269" s="23" t="n"/>
      <c r="B269" s="11" t="n"/>
      <c r="C269" s="11" t="n"/>
      <c r="D269" s="11" t="n"/>
      <c r="E269" s="4">
        <f>IF(OR(B269="",C269="",D269=""),"",IF(C269=D269,"ใช่","ไม่"))</f>
        <v/>
      </c>
      <c r="F269" s="4" t="n"/>
    </row>
    <row r="270" ht="15" customHeight="1" s="35">
      <c r="A270" s="23" t="n"/>
      <c r="B270" s="11" t="n"/>
      <c r="C270" s="11" t="n"/>
      <c r="D270" s="11" t="n"/>
      <c r="E270" s="4">
        <f>IF(OR(B270="",C270="",D270=""),"",IF(C270=D270,"ใช่","ไม่"))</f>
        <v/>
      </c>
      <c r="F270" s="4" t="n"/>
    </row>
    <row r="271" ht="15" customHeight="1" s="35">
      <c r="A271" s="23" t="n"/>
      <c r="B271" s="11" t="n"/>
      <c r="C271" s="11" t="n"/>
      <c r="D271" s="11" t="n"/>
      <c r="E271" s="4">
        <f>IF(OR(B271="",C271="",D271=""),"",IF(C271=D271,"ใช่","ไม่"))</f>
        <v/>
      </c>
      <c r="F271" s="4" t="n"/>
    </row>
    <row r="272" ht="15" customHeight="1" s="35">
      <c r="A272" s="23" t="n"/>
      <c r="B272" s="11" t="n"/>
      <c r="C272" s="11" t="n"/>
      <c r="D272" s="11" t="n"/>
      <c r="E272" s="4">
        <f>IF(OR(B272="",C272="",D272=""),"",IF(C272=D272,"ใช่","ไม่"))</f>
        <v/>
      </c>
      <c r="F272" s="4" t="n"/>
    </row>
    <row r="273" ht="15" customHeight="1" s="35">
      <c r="A273" s="23" t="n"/>
      <c r="B273" s="11" t="n"/>
      <c r="C273" s="11" t="n"/>
      <c r="D273" s="11" t="n"/>
      <c r="E273" s="4">
        <f>IF(OR(B273="",C273="",D273=""),"",IF(C273=D273,"ใช่","ไม่"))</f>
        <v/>
      </c>
      <c r="F273" s="4" t="n"/>
    </row>
    <row r="274" ht="15" customHeight="1" s="35">
      <c r="A274" s="23" t="n"/>
      <c r="B274" s="11" t="n"/>
      <c r="C274" s="11" t="n"/>
      <c r="D274" s="11" t="n"/>
      <c r="E274" s="4">
        <f>IF(OR(B274="",C274="",D274=""),"",IF(C274=D274,"ใช่","ไม่"))</f>
        <v/>
      </c>
      <c r="F274" s="4" t="n"/>
    </row>
    <row r="275" ht="15" customHeight="1" s="35">
      <c r="A275" s="23" t="n"/>
      <c r="B275" s="11" t="n"/>
      <c r="C275" s="11" t="n"/>
      <c r="D275" s="11" t="n"/>
      <c r="E275" s="4">
        <f>IF(OR(B275="",C275="",D275=""),"",IF(C275=D275,"ใช่","ไม่"))</f>
        <v/>
      </c>
      <c r="F275" s="4" t="n"/>
    </row>
    <row r="276" ht="15" customHeight="1" s="35">
      <c r="A276" s="23" t="n"/>
      <c r="B276" s="11" t="n"/>
      <c r="C276" s="11" t="n"/>
      <c r="D276" s="11" t="n"/>
      <c r="E276" s="4">
        <f>IF(OR(B276="",C276="",D276=""),"",IF(C276=D276,"ใช่","ไม่"))</f>
        <v/>
      </c>
      <c r="F276" s="4" t="n"/>
    </row>
    <row r="277" ht="15" customHeight="1" s="35">
      <c r="A277" s="23" t="n"/>
      <c r="B277" s="11" t="n"/>
      <c r="C277" s="11" t="n"/>
      <c r="D277" s="11" t="n"/>
      <c r="E277" s="4">
        <f>IF(OR(B277="",C277="",D277=""),"",IF(C277=D277,"ใช่","ไม่"))</f>
        <v/>
      </c>
      <c r="F277" s="4" t="n"/>
    </row>
    <row r="278" ht="15" customHeight="1" s="35">
      <c r="A278" s="23" t="n"/>
      <c r="B278" s="11" t="n"/>
      <c r="C278" s="11" t="n"/>
      <c r="D278" s="11" t="n"/>
      <c r="E278" s="4">
        <f>IF(OR(B278="",C278="",D278=""),"",IF(C278=D278,"ใช่","ไม่"))</f>
        <v/>
      </c>
      <c r="F278" s="4" t="n"/>
    </row>
    <row r="279" ht="15" customHeight="1" s="35">
      <c r="A279" s="23" t="n"/>
      <c r="B279" s="11" t="n"/>
      <c r="C279" s="11" t="n"/>
      <c r="D279" s="11" t="n"/>
      <c r="E279" s="4">
        <f>IF(OR(B279="",C279="",D279=""),"",IF(C279=D279,"ใช่","ไม่"))</f>
        <v/>
      </c>
      <c r="F279" s="4" t="n"/>
    </row>
    <row r="280" ht="15" customHeight="1" s="35">
      <c r="A280" s="23" t="n"/>
      <c r="B280" s="11" t="n"/>
      <c r="C280" s="11" t="n"/>
      <c r="D280" s="11" t="n"/>
      <c r="E280" s="4">
        <f>IF(OR(B280="",C280="",D280=""),"",IF(C280=D280,"ใช่","ไม่"))</f>
        <v/>
      </c>
      <c r="F280" s="4" t="n"/>
    </row>
    <row r="281" ht="15" customHeight="1" s="35">
      <c r="A281" s="23" t="n"/>
      <c r="B281" s="11" t="n"/>
      <c r="C281" s="11" t="n"/>
      <c r="D281" s="11" t="n"/>
      <c r="E281" s="4">
        <f>IF(OR(B281="",C281="",D281=""),"",IF(C281=D281,"ใช่","ไม่"))</f>
        <v/>
      </c>
      <c r="F281" s="4" t="n"/>
    </row>
    <row r="282" ht="15" customHeight="1" s="35">
      <c r="A282" s="23" t="n"/>
      <c r="B282" s="11" t="n"/>
      <c r="C282" s="11" t="n"/>
      <c r="D282" s="11" t="n"/>
      <c r="E282" s="4">
        <f>IF(OR(B282="",C282="",D282=""),"",IF(C282=D282,"ใช่","ไม่"))</f>
        <v/>
      </c>
      <c r="F282" s="4" t="n"/>
    </row>
    <row r="283" ht="15" customHeight="1" s="35">
      <c r="A283" s="23" t="n"/>
      <c r="B283" s="11" t="n"/>
      <c r="C283" s="11" t="n"/>
      <c r="D283" s="11" t="n"/>
      <c r="E283" s="4">
        <f>IF(OR(B283="",C283="",D283=""),"",IF(C283=D283,"ใช่","ไม่"))</f>
        <v/>
      </c>
      <c r="F283" s="4" t="n"/>
    </row>
    <row r="284" ht="15" customHeight="1" s="35">
      <c r="A284" s="23" t="n"/>
      <c r="B284" s="11" t="n"/>
      <c r="C284" s="11" t="n"/>
      <c r="D284" s="11" t="n"/>
      <c r="E284" s="4">
        <f>IF(OR(B284="",C284="",D284=""),"",IF(C284=D284,"ใช่","ไม่"))</f>
        <v/>
      </c>
      <c r="F284" s="4" t="n"/>
    </row>
    <row r="285" ht="15" customHeight="1" s="35">
      <c r="A285" s="23" t="n"/>
      <c r="B285" s="11" t="n"/>
      <c r="C285" s="11" t="n"/>
      <c r="D285" s="11" t="n"/>
      <c r="E285" s="4">
        <f>IF(OR(B285="",C285="",D285=""),"",IF(C285=D285,"ใช่","ไม่"))</f>
        <v/>
      </c>
      <c r="F285" s="4" t="n"/>
    </row>
    <row r="286" ht="15" customHeight="1" s="35">
      <c r="A286" s="23" t="n"/>
      <c r="B286" s="11" t="n"/>
      <c r="C286" s="11" t="n"/>
      <c r="D286" s="11" t="n"/>
      <c r="E286" s="4">
        <f>IF(OR(B286="",C286="",D286=""),"",IF(C286=D286,"ใช่","ไม่"))</f>
        <v/>
      </c>
      <c r="F286" s="4" t="n"/>
    </row>
    <row r="287" ht="15" customHeight="1" s="35">
      <c r="A287" s="23" t="n"/>
      <c r="B287" s="11" t="n"/>
      <c r="C287" s="11" t="n"/>
      <c r="D287" s="11" t="n"/>
      <c r="E287" s="4">
        <f>IF(OR(B287="",C287="",D287=""),"",IF(C287=D287,"ใช่","ไม่"))</f>
        <v/>
      </c>
      <c r="F287" s="4" t="n"/>
    </row>
    <row r="288" ht="15" customHeight="1" s="35">
      <c r="A288" s="23" t="n"/>
      <c r="B288" s="11" t="n"/>
      <c r="C288" s="11" t="n"/>
      <c r="D288" s="11" t="n"/>
      <c r="E288" s="4">
        <f>IF(OR(B288="",C288="",D288=""),"",IF(C288=D288,"ใช่","ไม่"))</f>
        <v/>
      </c>
      <c r="F288" s="4" t="n"/>
    </row>
    <row r="289" ht="15" customHeight="1" s="35">
      <c r="A289" s="23" t="n"/>
      <c r="B289" s="11" t="n"/>
      <c r="C289" s="11" t="n"/>
      <c r="D289" s="11" t="n"/>
      <c r="E289" s="4">
        <f>IF(OR(B289="",C289="",D289=""),"",IF(C289=D289,"ใช่","ไม่"))</f>
        <v/>
      </c>
      <c r="F289" s="4" t="n"/>
    </row>
    <row r="290" ht="15" customHeight="1" s="35">
      <c r="A290" s="23" t="n"/>
      <c r="B290" s="11" t="n"/>
      <c r="C290" s="11" t="n"/>
      <c r="D290" s="11" t="n"/>
      <c r="E290" s="4">
        <f>IF(OR(B290="",C290="",D290=""),"",IF(C290=D290,"ใช่","ไม่"))</f>
        <v/>
      </c>
      <c r="F290" s="4" t="n"/>
    </row>
    <row r="291" ht="15" customHeight="1" s="35">
      <c r="A291" s="23" t="n"/>
      <c r="B291" s="11" t="n"/>
      <c r="C291" s="11" t="n"/>
      <c r="D291" s="11" t="n"/>
      <c r="E291" s="4">
        <f>IF(OR(B291="",C291="",D291=""),"",IF(C291=D291,"ใช่","ไม่"))</f>
        <v/>
      </c>
      <c r="F291" s="4" t="n"/>
    </row>
    <row r="292" ht="15" customHeight="1" s="35">
      <c r="A292" s="23" t="n"/>
      <c r="B292" s="11" t="n"/>
      <c r="C292" s="11" t="n"/>
      <c r="D292" s="11" t="n"/>
      <c r="E292" s="4">
        <f>IF(OR(B292="",C292="",D292=""),"",IF(C292=D292,"ใช่","ไม่"))</f>
        <v/>
      </c>
      <c r="F292" s="4" t="n"/>
    </row>
    <row r="293" ht="15" customHeight="1" s="35">
      <c r="A293" s="23" t="n"/>
      <c r="B293" s="11" t="n"/>
      <c r="C293" s="11" t="n"/>
      <c r="D293" s="11" t="n"/>
      <c r="E293" s="4">
        <f>IF(OR(B293="",C293="",D293=""),"",IF(C293=D293,"ใช่","ไม่"))</f>
        <v/>
      </c>
      <c r="F293" s="4" t="n"/>
    </row>
    <row r="294" ht="15" customHeight="1" s="35">
      <c r="A294" s="23" t="n"/>
      <c r="B294" s="11" t="n"/>
      <c r="C294" s="11" t="n"/>
      <c r="D294" s="11" t="n"/>
      <c r="E294" s="4">
        <f>IF(OR(B294="",C294="",D294=""),"",IF(C294=D294,"ใช่","ไม่"))</f>
        <v/>
      </c>
      <c r="F294" s="4" t="n"/>
    </row>
    <row r="295" ht="15" customHeight="1" s="35">
      <c r="A295" s="23" t="n"/>
      <c r="B295" s="11" t="n"/>
      <c r="C295" s="11" t="n"/>
      <c r="D295" s="11" t="n"/>
      <c r="E295" s="4">
        <f>IF(OR(B295="",C295="",D295=""),"",IF(C295=D295,"ใช่","ไม่"))</f>
        <v/>
      </c>
      <c r="F295" s="4" t="n"/>
    </row>
    <row r="296" ht="15" customHeight="1" s="35">
      <c r="A296" s="23" t="n"/>
      <c r="B296" s="11" t="n"/>
      <c r="C296" s="11" t="n"/>
      <c r="D296" s="11" t="n"/>
      <c r="E296" s="4">
        <f>IF(OR(B296="",C296="",D296=""),"",IF(C296=D296,"ใช่","ไม่"))</f>
        <v/>
      </c>
      <c r="F296" s="4" t="n"/>
    </row>
    <row r="297" ht="15" customHeight="1" s="35">
      <c r="A297" s="23" t="n"/>
      <c r="B297" s="11" t="n"/>
      <c r="C297" s="11" t="n"/>
      <c r="D297" s="11" t="n"/>
      <c r="E297" s="4">
        <f>IF(OR(B297="",C297="",D297=""),"",IF(C297=D297,"ใช่","ไม่"))</f>
        <v/>
      </c>
      <c r="F297" s="4" t="n"/>
    </row>
    <row r="298" ht="15" customHeight="1" s="35">
      <c r="A298" s="23" t="n"/>
      <c r="B298" s="11" t="n"/>
      <c r="C298" s="11" t="n"/>
      <c r="D298" s="11" t="n"/>
      <c r="E298" s="4">
        <f>IF(OR(B298="",C298="",D298=""),"",IF(C298=D298,"ใช่","ไม่"))</f>
        <v/>
      </c>
      <c r="F298" s="4" t="n"/>
    </row>
    <row r="299" ht="15" customHeight="1" s="35">
      <c r="A299" s="23" t="n"/>
      <c r="B299" s="11" t="n"/>
      <c r="C299" s="11" t="n"/>
      <c r="D299" s="11" t="n"/>
      <c r="E299" s="4">
        <f>IF(OR(B299="",C299="",D299=""),"",IF(C299=D299,"ใช่","ไม่"))</f>
        <v/>
      </c>
      <c r="F299" s="4" t="n"/>
    </row>
    <row r="300" ht="15" customHeight="1" s="35">
      <c r="A300" s="23" t="n"/>
      <c r="B300" s="11" t="n"/>
      <c r="C300" s="11" t="n"/>
      <c r="D300" s="11" t="n"/>
      <c r="E300" s="4">
        <f>IF(OR(B300="",C300="",D300=""),"",IF(C300=D300,"ใช่","ไม่"))</f>
        <v/>
      </c>
      <c r="F300" s="4" t="n"/>
    </row>
    <row r="301" ht="15" customHeight="1" s="35">
      <c r="A301" s="23" t="n"/>
      <c r="B301" s="11" t="n"/>
      <c r="C301" s="11" t="n"/>
      <c r="D301" s="11" t="n"/>
      <c r="E301" s="4">
        <f>IF(OR(B301="",C301="",D301=""),"",IF(C301=D301,"ใช่","ไม่"))</f>
        <v/>
      </c>
      <c r="F301" s="4" t="n"/>
    </row>
    <row r="302" ht="15" customHeight="1" s="35">
      <c r="A302" s="23" t="n"/>
      <c r="B302" s="11" t="n"/>
      <c r="C302" s="11" t="n"/>
      <c r="D302" s="11" t="n"/>
      <c r="E302" s="4">
        <f>IF(OR(B302="",C302="",D302=""),"",IF(C302=D302,"ใช่","ไม่"))</f>
        <v/>
      </c>
      <c r="F302" s="4" t="n"/>
    </row>
    <row r="303" ht="15" customHeight="1" s="35">
      <c r="A303" s="23" t="n"/>
      <c r="B303" s="11" t="n"/>
      <c r="C303" s="11" t="n"/>
      <c r="D303" s="11" t="n"/>
      <c r="E303" s="4">
        <f>IF(OR(B303="",C303="",D303=""),"",IF(C303=D303,"ใช่","ไม่"))</f>
        <v/>
      </c>
      <c r="F303" s="4" t="n"/>
    </row>
    <row r="304" ht="15" customHeight="1" s="35">
      <c r="A304" s="23" t="n"/>
      <c r="B304" s="11" t="n"/>
      <c r="C304" s="11" t="n"/>
      <c r="D304" s="11" t="n"/>
      <c r="E304" s="4">
        <f>IF(OR(B304="",C304="",D304=""),"",IF(C304=D304,"ใช่","ไม่"))</f>
        <v/>
      </c>
      <c r="F304" s="4" t="n"/>
    </row>
    <row r="305" ht="15" customHeight="1" s="35">
      <c r="A305" s="23" t="n"/>
      <c r="B305" s="11" t="n"/>
      <c r="C305" s="11" t="n"/>
      <c r="D305" s="11" t="n"/>
      <c r="E305" s="4">
        <f>IF(OR(B305="",C305="",D305=""),"",IF(C305=D305,"ใช่","ไม่"))</f>
        <v/>
      </c>
      <c r="F305" s="4" t="n"/>
    </row>
    <row r="306" ht="15" customHeight="1" s="35">
      <c r="A306" s="23" t="n"/>
      <c r="B306" s="11" t="n"/>
      <c r="C306" s="11" t="n"/>
      <c r="D306" s="11" t="n"/>
      <c r="E306" s="4">
        <f>IF(OR(B306="",C306="",D306=""),"",IF(C306=D306,"ใช่","ไม่"))</f>
        <v/>
      </c>
      <c r="F306" s="4" t="n"/>
    </row>
    <row r="307" ht="15" customHeight="1" s="35">
      <c r="A307" s="23" t="n"/>
      <c r="B307" s="11" t="n"/>
      <c r="C307" s="11" t="n"/>
      <c r="D307" s="11" t="n"/>
      <c r="E307" s="4">
        <f>IF(OR(B307="",C307="",D307=""),"",IF(C307=D307,"ใช่","ไม่"))</f>
        <v/>
      </c>
      <c r="F307" s="4" t="n"/>
    </row>
    <row r="308" ht="15" customHeight="1" s="35">
      <c r="A308" s="23" t="n"/>
      <c r="B308" s="11" t="n"/>
      <c r="C308" s="11" t="n"/>
      <c r="D308" s="11" t="n"/>
      <c r="E308" s="4">
        <f>IF(OR(B308="",C308="",D308=""),"",IF(C308=D308,"ใช่","ไม่"))</f>
        <v/>
      </c>
      <c r="F308" s="4" t="n"/>
    </row>
    <row r="309" ht="15" customHeight="1" s="35">
      <c r="A309" s="23" t="n"/>
      <c r="B309" s="11" t="n"/>
      <c r="C309" s="11" t="n"/>
      <c r="D309" s="11" t="n"/>
      <c r="E309" s="4">
        <f>IF(OR(B309="",C309="",D309=""),"",IF(C309=D309,"ใช่","ไม่"))</f>
        <v/>
      </c>
      <c r="F309" s="4" t="n"/>
    </row>
    <row r="310" ht="15" customHeight="1" s="35">
      <c r="A310" s="23" t="n"/>
      <c r="B310" s="11" t="n"/>
      <c r="C310" s="11" t="n"/>
      <c r="D310" s="11" t="n"/>
      <c r="E310" s="4">
        <f>IF(OR(B310="",C310="",D310=""),"",IF(C310=D310,"ใช่","ไม่"))</f>
        <v/>
      </c>
      <c r="F310" s="4" t="n"/>
    </row>
    <row r="311" ht="15" customHeight="1" s="35">
      <c r="A311" s="23" t="n"/>
      <c r="B311" s="11" t="n"/>
      <c r="C311" s="11" t="n"/>
      <c r="D311" s="11" t="n"/>
      <c r="E311" s="4">
        <f>IF(OR(B311="",C311="",D311=""),"",IF(C311=D311,"ใช่","ไม่"))</f>
        <v/>
      </c>
      <c r="F311" s="4" t="n"/>
    </row>
    <row r="312" ht="15" customHeight="1" s="35">
      <c r="A312" s="23" t="n"/>
      <c r="B312" s="11" t="n"/>
      <c r="C312" s="11" t="n"/>
      <c r="D312" s="11" t="n"/>
      <c r="E312" s="4">
        <f>IF(OR(B312="",C312="",D312=""),"",IF(C312=D312,"ใช่","ไม่"))</f>
        <v/>
      </c>
      <c r="F312" s="4" t="n"/>
    </row>
    <row r="313" ht="15" customHeight="1" s="35">
      <c r="A313" s="23" t="n"/>
      <c r="B313" s="11" t="n"/>
      <c r="C313" s="11" t="n"/>
      <c r="D313" s="11" t="n"/>
      <c r="E313" s="4">
        <f>IF(OR(B313="",C313="",D313=""),"",IF(C313=D313,"ใช่","ไม่"))</f>
        <v/>
      </c>
      <c r="F313" s="4" t="n"/>
    </row>
    <row r="314" ht="15" customHeight="1" s="35">
      <c r="A314" s="23" t="n"/>
      <c r="B314" s="11" t="n"/>
      <c r="C314" s="11" t="n"/>
      <c r="D314" s="11" t="n"/>
      <c r="E314" s="4">
        <f>IF(OR(B314="",C314="",D314=""),"",IF(C314=D314,"ใช่","ไม่"))</f>
        <v/>
      </c>
      <c r="F314" s="4" t="n"/>
    </row>
    <row r="315" ht="15" customHeight="1" s="35">
      <c r="A315" s="23" t="n"/>
      <c r="B315" s="11" t="n"/>
      <c r="C315" s="11" t="n"/>
      <c r="D315" s="11" t="n"/>
      <c r="E315" s="4">
        <f>IF(OR(B315="",C315="",D315=""),"",IF(C315=D315,"ใช่","ไม่"))</f>
        <v/>
      </c>
      <c r="F315" s="4" t="n"/>
    </row>
    <row r="316" ht="15" customHeight="1" s="35">
      <c r="A316" s="23" t="n"/>
      <c r="B316" s="11" t="n"/>
      <c r="C316" s="11" t="n"/>
      <c r="D316" s="11" t="n"/>
      <c r="E316" s="4">
        <f>IF(OR(B316="",C316="",D316=""),"",IF(C316=D316,"ใช่","ไม่"))</f>
        <v/>
      </c>
      <c r="F316" s="4" t="n"/>
    </row>
    <row r="317" ht="15" customHeight="1" s="35">
      <c r="A317" s="23" t="n"/>
      <c r="B317" s="11" t="n"/>
      <c r="C317" s="11" t="n"/>
      <c r="D317" s="11" t="n"/>
      <c r="E317" s="4">
        <f>IF(OR(B317="",C317="",D317=""),"",IF(C317=D317,"ใช่","ไม่"))</f>
        <v/>
      </c>
      <c r="F317" s="4" t="n"/>
    </row>
    <row r="318" ht="15" customHeight="1" s="35">
      <c r="A318" s="23" t="n"/>
      <c r="B318" s="11" t="n"/>
      <c r="C318" s="11" t="n"/>
      <c r="D318" s="11" t="n"/>
      <c r="E318" s="4">
        <f>IF(OR(B318="",C318="",D318=""),"",IF(C318=D318,"ใช่","ไม่"))</f>
        <v/>
      </c>
      <c r="F318" s="4" t="n"/>
    </row>
    <row r="319" ht="15" customHeight="1" s="35">
      <c r="A319" s="23" t="n"/>
      <c r="B319" s="11" t="n"/>
      <c r="C319" s="11" t="n"/>
      <c r="D319" s="11" t="n"/>
      <c r="E319" s="4">
        <f>IF(OR(B319="",C319="",D319=""),"",IF(C319=D319,"ใช่","ไม่"))</f>
        <v/>
      </c>
      <c r="F319" s="4" t="n"/>
    </row>
    <row r="320" ht="15" customHeight="1" s="35">
      <c r="A320" s="23" t="n"/>
      <c r="B320" s="11" t="n"/>
      <c r="C320" s="11" t="n"/>
      <c r="D320" s="11" t="n"/>
      <c r="E320" s="4">
        <f>IF(OR(B320="",C320="",D320=""),"",IF(C320=D320,"ใช่","ไม่"))</f>
        <v/>
      </c>
      <c r="F320" s="4" t="n"/>
    </row>
    <row r="321" ht="15" customHeight="1" s="35">
      <c r="A321" s="23" t="n"/>
      <c r="B321" s="11" t="n"/>
      <c r="C321" s="11" t="n"/>
      <c r="D321" s="11" t="n"/>
      <c r="E321" s="4">
        <f>IF(OR(B321="",C321="",D321=""),"",IF(C321=D321,"ใช่","ไม่"))</f>
        <v/>
      </c>
      <c r="F321" s="4" t="n"/>
    </row>
    <row r="322" ht="15" customHeight="1" s="35">
      <c r="A322" s="23" t="n"/>
      <c r="B322" s="11" t="n"/>
      <c r="C322" s="11" t="n"/>
      <c r="D322" s="11" t="n"/>
      <c r="E322" s="4">
        <f>IF(OR(B322="",C322="",D322=""),"",IF(C322=D322,"ใช่","ไม่"))</f>
        <v/>
      </c>
      <c r="F322" s="4" t="n"/>
    </row>
    <row r="323" ht="15" customHeight="1" s="35">
      <c r="A323" s="23" t="n"/>
      <c r="B323" s="11" t="n"/>
      <c r="C323" s="11" t="n"/>
      <c r="D323" s="11" t="n"/>
      <c r="E323" s="4">
        <f>IF(OR(B323="",C323="",D323=""),"",IF(C323=D323,"ใช่","ไม่"))</f>
        <v/>
      </c>
      <c r="F323" s="4" t="n"/>
    </row>
    <row r="324" ht="15" customHeight="1" s="35">
      <c r="A324" s="23" t="n"/>
      <c r="B324" s="11" t="n"/>
      <c r="C324" s="11" t="n"/>
      <c r="D324" s="11" t="n"/>
      <c r="E324" s="4">
        <f>IF(OR(B324="",C324="",D324=""),"",IF(C324=D324,"ใช่","ไม่"))</f>
        <v/>
      </c>
      <c r="F324" s="4" t="n"/>
    </row>
    <row r="325" ht="15" customHeight="1" s="35">
      <c r="A325" s="23" t="n"/>
      <c r="B325" s="11" t="n"/>
      <c r="C325" s="11" t="n"/>
      <c r="D325" s="11" t="n"/>
      <c r="E325" s="4">
        <f>IF(OR(B325="",C325="",D325=""),"",IF(C325=D325,"ใช่","ไม่"))</f>
        <v/>
      </c>
      <c r="F325" s="4" t="n"/>
    </row>
    <row r="326" ht="15" customHeight="1" s="35">
      <c r="A326" s="23" t="n"/>
      <c r="B326" s="11" t="n"/>
      <c r="C326" s="11" t="n"/>
      <c r="D326" s="11" t="n"/>
      <c r="E326" s="4">
        <f>IF(OR(B326="",C326="",D326=""),"",IF(C326=D326,"ใช่","ไม่"))</f>
        <v/>
      </c>
      <c r="F326" s="4" t="n"/>
    </row>
    <row r="327" ht="15" customHeight="1" s="35">
      <c r="A327" s="23" t="n"/>
      <c r="B327" s="11" t="n"/>
      <c r="C327" s="11" t="n"/>
      <c r="D327" s="11" t="n"/>
      <c r="E327" s="4">
        <f>IF(OR(B327="",C327="",D327=""),"",IF(C327=D327,"ใช่","ไม่"))</f>
        <v/>
      </c>
      <c r="F327" s="4" t="n"/>
    </row>
    <row r="328" ht="15" customHeight="1" s="35">
      <c r="A328" s="23" t="n"/>
      <c r="B328" s="11" t="n"/>
      <c r="C328" s="11" t="n"/>
      <c r="D328" s="11" t="n"/>
      <c r="E328" s="4">
        <f>IF(OR(B328="",C328="",D328=""),"",IF(C328=D328,"ใช่","ไม่"))</f>
        <v/>
      </c>
      <c r="F328" s="4" t="n"/>
    </row>
    <row r="329" ht="15" customHeight="1" s="35">
      <c r="A329" s="23" t="n"/>
      <c r="B329" s="11" t="n"/>
      <c r="C329" s="11" t="n"/>
      <c r="D329" s="11" t="n"/>
      <c r="E329" s="4">
        <f>IF(OR(B329="",C329="",D329=""),"",IF(C329=D329,"ใช่","ไม่"))</f>
        <v/>
      </c>
      <c r="F329" s="4" t="n"/>
    </row>
    <row r="330" ht="15" customHeight="1" s="35">
      <c r="A330" s="23" t="n"/>
      <c r="B330" s="11" t="n"/>
      <c r="C330" s="11" t="n"/>
      <c r="D330" s="11" t="n"/>
      <c r="E330" s="4">
        <f>IF(OR(B330="",C330="",D330=""),"",IF(C330=D330,"ใช่","ไม่"))</f>
        <v/>
      </c>
      <c r="F330" s="4" t="n"/>
    </row>
    <row r="331" ht="15" customHeight="1" s="35">
      <c r="A331" s="23" t="n"/>
      <c r="B331" s="11" t="n"/>
      <c r="C331" s="11" t="n"/>
      <c r="D331" s="11" t="n"/>
      <c r="E331" s="4">
        <f>IF(OR(B331="",C331="",D331=""),"",IF(C331=D331,"ใช่","ไม่"))</f>
        <v/>
      </c>
      <c r="F331" s="4" t="n"/>
    </row>
    <row r="332" ht="15" customHeight="1" s="35">
      <c r="A332" s="23" t="n"/>
      <c r="B332" s="11" t="n"/>
      <c r="C332" s="11" t="n"/>
      <c r="D332" s="11" t="n"/>
      <c r="E332" s="4">
        <f>IF(OR(B332="",C332="",D332=""),"",IF(C332=D332,"ใช่","ไม่"))</f>
        <v/>
      </c>
      <c r="F332" s="4" t="n"/>
    </row>
    <row r="333" ht="15" customHeight="1" s="35">
      <c r="A333" s="23" t="n"/>
      <c r="B333" s="11" t="n"/>
      <c r="C333" s="11" t="n"/>
      <c r="D333" s="11" t="n"/>
      <c r="E333" s="4">
        <f>IF(OR(B333="",C333="",D333=""),"",IF(C333=D333,"ใช่","ไม่"))</f>
        <v/>
      </c>
      <c r="F333" s="4" t="n"/>
    </row>
    <row r="334" ht="15" customHeight="1" s="35">
      <c r="A334" s="23" t="n"/>
      <c r="B334" s="11" t="n"/>
      <c r="C334" s="11" t="n"/>
      <c r="D334" s="11" t="n"/>
      <c r="E334" s="4">
        <f>IF(OR(B334="",C334="",D334=""),"",IF(C334=D334,"ใช่","ไม่"))</f>
        <v/>
      </c>
      <c r="F334" s="4" t="n"/>
    </row>
    <row r="335" ht="15" customHeight="1" s="35">
      <c r="A335" s="23" t="n"/>
      <c r="B335" s="11" t="n"/>
      <c r="C335" s="11" t="n"/>
      <c r="D335" s="11" t="n"/>
      <c r="E335" s="4">
        <f>IF(OR(B335="",C335="",D335=""),"",IF(C335=D335,"ใช่","ไม่"))</f>
        <v/>
      </c>
      <c r="F335" s="4" t="n"/>
    </row>
    <row r="336" ht="15" customHeight="1" s="35">
      <c r="A336" s="23" t="n"/>
      <c r="B336" s="11" t="n"/>
      <c r="C336" s="11" t="n"/>
      <c r="D336" s="11" t="n"/>
      <c r="E336" s="4">
        <f>IF(OR(B336="",C336="",D336=""),"",IF(C336=D336,"ใช่","ไม่"))</f>
        <v/>
      </c>
      <c r="F336" s="4" t="n"/>
    </row>
    <row r="337" ht="15" customHeight="1" s="35">
      <c r="A337" s="23" t="n"/>
      <c r="B337" s="11" t="n"/>
      <c r="C337" s="11" t="n"/>
      <c r="D337" s="11" t="n"/>
      <c r="E337" s="4">
        <f>IF(OR(B337="",C337="",D337=""),"",IF(C337=D337,"ใช่","ไม่"))</f>
        <v/>
      </c>
      <c r="F337" s="4" t="n"/>
    </row>
    <row r="338" ht="15" customHeight="1" s="35">
      <c r="A338" s="23" t="n"/>
      <c r="B338" s="11" t="n"/>
      <c r="C338" s="11" t="n"/>
      <c r="D338" s="11" t="n"/>
      <c r="E338" s="4">
        <f>IF(OR(B338="",C338="",D338=""),"",IF(C338=D338,"ใช่","ไม่"))</f>
        <v/>
      </c>
      <c r="F338" s="4" t="n"/>
    </row>
    <row r="339" ht="15" customHeight="1" s="35">
      <c r="A339" s="23" t="n"/>
      <c r="B339" s="11" t="n"/>
      <c r="C339" s="11" t="n"/>
      <c r="D339" s="11" t="n"/>
      <c r="E339" s="4">
        <f>IF(OR(B339="",C339="",D339=""),"",IF(C339=D339,"ใช่","ไม่"))</f>
        <v/>
      </c>
      <c r="F339" s="4" t="n"/>
    </row>
    <row r="340" ht="15" customHeight="1" s="35">
      <c r="A340" s="23" t="n"/>
      <c r="B340" s="11" t="n"/>
      <c r="C340" s="11" t="n"/>
      <c r="D340" s="11" t="n"/>
      <c r="E340" s="4">
        <f>IF(OR(B340="",C340="",D340=""),"",IF(C340=D340,"ใช่","ไม่"))</f>
        <v/>
      </c>
      <c r="F340" s="4" t="n"/>
    </row>
    <row r="341" ht="15" customHeight="1" s="35">
      <c r="A341" s="23" t="n"/>
      <c r="B341" s="11" t="n"/>
      <c r="C341" s="11" t="n"/>
      <c r="D341" s="11" t="n"/>
      <c r="E341" s="4">
        <f>IF(OR(B341="",C341="",D341=""),"",IF(C341=D341,"ใช่","ไม่"))</f>
        <v/>
      </c>
      <c r="F341" s="4" t="n"/>
    </row>
    <row r="342" ht="15" customHeight="1" s="35">
      <c r="A342" s="23" t="n"/>
      <c r="B342" s="11" t="n"/>
      <c r="C342" s="11" t="n"/>
      <c r="D342" s="11" t="n"/>
      <c r="E342" s="4">
        <f>IF(OR(B342="",C342="",D342=""),"",IF(C342=D342,"ใช่","ไม่"))</f>
        <v/>
      </c>
      <c r="F342" s="4" t="n"/>
    </row>
    <row r="343" ht="15" customHeight="1" s="35">
      <c r="A343" s="23" t="n"/>
      <c r="B343" s="11" t="n"/>
      <c r="C343" s="11" t="n"/>
      <c r="D343" s="11" t="n"/>
      <c r="E343" s="4">
        <f>IF(OR(B343="",C343="",D343=""),"",IF(C343=D343,"ใช่","ไม่"))</f>
        <v/>
      </c>
      <c r="F343" s="4" t="n"/>
    </row>
    <row r="344" ht="15" customHeight="1" s="35">
      <c r="A344" s="23" t="n"/>
      <c r="B344" s="11" t="n"/>
      <c r="C344" s="11" t="n"/>
      <c r="D344" s="11" t="n"/>
      <c r="E344" s="4">
        <f>IF(OR(B344="",C344="",D344=""),"",IF(C344=D344,"ใช่","ไม่"))</f>
        <v/>
      </c>
      <c r="F344" s="4" t="n"/>
    </row>
    <row r="345" ht="15" customHeight="1" s="35">
      <c r="A345" s="23" t="n"/>
      <c r="B345" s="11" t="n"/>
      <c r="C345" s="11" t="n"/>
      <c r="D345" s="11" t="n"/>
      <c r="E345" s="4">
        <f>IF(OR(B345="",C345="",D345=""),"",IF(C345=D345,"ใช่","ไม่"))</f>
        <v/>
      </c>
      <c r="F345" s="4" t="n"/>
    </row>
    <row r="346" ht="15" customHeight="1" s="35">
      <c r="A346" s="23" t="n"/>
      <c r="B346" s="11" t="n"/>
      <c r="C346" s="11" t="n"/>
      <c r="D346" s="11" t="n"/>
      <c r="E346" s="4">
        <f>IF(OR(B346="",C346="",D346=""),"",IF(C346=D346,"ใช่","ไม่"))</f>
        <v/>
      </c>
      <c r="F346" s="4" t="n"/>
    </row>
    <row r="347" ht="15" customHeight="1" s="35">
      <c r="A347" s="23" t="n"/>
      <c r="B347" s="11" t="n"/>
      <c r="C347" s="11" t="n"/>
      <c r="D347" s="11" t="n"/>
      <c r="E347" s="4">
        <f>IF(OR(B347="",C347="",D347=""),"",IF(C347=D347,"ใช่","ไม่"))</f>
        <v/>
      </c>
      <c r="F347" s="4" t="n"/>
    </row>
    <row r="348" ht="15" customHeight="1" s="35">
      <c r="A348" s="23" t="n"/>
      <c r="B348" s="11" t="n"/>
      <c r="C348" s="11" t="n"/>
      <c r="D348" s="11" t="n"/>
      <c r="E348" s="4">
        <f>IF(OR(B348="",C348="",D348=""),"",IF(C348=D348,"ใช่","ไม่"))</f>
        <v/>
      </c>
      <c r="F348" s="4" t="n"/>
    </row>
    <row r="349" ht="15" customHeight="1" s="35">
      <c r="A349" s="23" t="n"/>
      <c r="B349" s="11" t="n"/>
      <c r="C349" s="11" t="n"/>
      <c r="D349" s="11" t="n"/>
      <c r="E349" s="4">
        <f>IF(OR(B349="",C349="",D349=""),"",IF(C349=D349,"ใช่","ไม่"))</f>
        <v/>
      </c>
      <c r="F349" s="4" t="n"/>
    </row>
    <row r="350" ht="15" customHeight="1" s="35">
      <c r="A350" s="23" t="n"/>
      <c r="B350" s="11" t="n"/>
      <c r="C350" s="11" t="n"/>
      <c r="D350" s="11" t="n"/>
      <c r="E350" s="4">
        <f>IF(OR(B350="",C350="",D350=""),"",IF(C350=D350,"ใช่","ไม่"))</f>
        <v/>
      </c>
      <c r="F350" s="4" t="n"/>
    </row>
    <row r="351" ht="15" customHeight="1" s="35">
      <c r="A351" s="23" t="n"/>
      <c r="B351" s="11" t="n"/>
      <c r="C351" s="11" t="n"/>
      <c r="D351" s="11" t="n"/>
      <c r="E351" s="4">
        <f>IF(OR(B351="",C351="",D351=""),"",IF(C351=D351,"ใช่","ไม่"))</f>
        <v/>
      </c>
      <c r="F351" s="4" t="n"/>
    </row>
    <row r="352" ht="15" customHeight="1" s="35">
      <c r="A352" s="23" t="n"/>
      <c r="B352" s="11" t="n"/>
      <c r="C352" s="11" t="n"/>
      <c r="D352" s="11" t="n"/>
      <c r="E352" s="4">
        <f>IF(OR(B352="",C352="",D352=""),"",IF(C352=D352,"ใช่","ไม่"))</f>
        <v/>
      </c>
      <c r="F352" s="4" t="n"/>
    </row>
    <row r="353" ht="15" customHeight="1" s="35">
      <c r="A353" s="23" t="n"/>
      <c r="B353" s="11" t="n"/>
      <c r="C353" s="11" t="n"/>
      <c r="D353" s="11" t="n"/>
      <c r="E353" s="4">
        <f>IF(OR(B353="",C353="",D353=""),"",IF(C353=D353,"ใช่","ไม่"))</f>
        <v/>
      </c>
      <c r="F353" s="4" t="n"/>
    </row>
    <row r="354" ht="15" customHeight="1" s="35">
      <c r="A354" s="23" t="n"/>
      <c r="B354" s="11" t="n"/>
      <c r="C354" s="11" t="n"/>
      <c r="D354" s="11" t="n"/>
      <c r="E354" s="4">
        <f>IF(OR(B354="",C354="",D354=""),"",IF(C354=D354,"ใช่","ไม่"))</f>
        <v/>
      </c>
      <c r="F354" s="4" t="n"/>
    </row>
    <row r="355" ht="15" customHeight="1" s="35">
      <c r="A355" s="23" t="n"/>
      <c r="B355" s="11" t="n"/>
      <c r="C355" s="11" t="n"/>
      <c r="D355" s="11" t="n"/>
      <c r="E355" s="4">
        <f>IF(OR(B355="",C355="",D355=""),"",IF(C355=D355,"ใช่","ไม่"))</f>
        <v/>
      </c>
      <c r="F355" s="4" t="n"/>
    </row>
    <row r="356" ht="15" customHeight="1" s="35">
      <c r="A356" s="23" t="n"/>
      <c r="B356" s="11" t="n"/>
      <c r="C356" s="11" t="n"/>
      <c r="D356" s="11" t="n"/>
      <c r="E356" s="4">
        <f>IF(OR(B356="",C356="",D356=""),"",IF(C356=D356,"ใช่","ไม่"))</f>
        <v/>
      </c>
      <c r="F356" s="4" t="n"/>
    </row>
    <row r="357" ht="15" customHeight="1" s="35">
      <c r="A357" s="23" t="n"/>
      <c r="B357" s="11" t="n"/>
      <c r="C357" s="11" t="n"/>
      <c r="D357" s="11" t="n"/>
      <c r="E357" s="4">
        <f>IF(OR(B357="",C357="",D357=""),"",IF(C357=D357,"ใช่","ไม่"))</f>
        <v/>
      </c>
      <c r="F357" s="4" t="n"/>
    </row>
    <row r="358" ht="15" customHeight="1" s="35">
      <c r="A358" s="23" t="n"/>
      <c r="B358" s="11" t="n"/>
      <c r="C358" s="11" t="n"/>
      <c r="D358" s="11" t="n"/>
      <c r="E358" s="4">
        <f>IF(OR(B358="",C358="",D358=""),"",IF(C358=D358,"ใช่","ไม่"))</f>
        <v/>
      </c>
      <c r="F358" s="4" t="n"/>
    </row>
    <row r="359" ht="15" customHeight="1" s="35">
      <c r="A359" s="23" t="n"/>
      <c r="B359" s="11" t="n"/>
      <c r="C359" s="11" t="n"/>
      <c r="D359" s="11" t="n"/>
      <c r="E359" s="4">
        <f>IF(OR(B359="",C359="",D359=""),"",IF(C359=D359,"ใช่","ไม่"))</f>
        <v/>
      </c>
      <c r="F359" s="4" t="n"/>
    </row>
    <row r="360" ht="15" customHeight="1" s="35">
      <c r="A360" s="23" t="n"/>
      <c r="B360" s="11" t="n"/>
      <c r="C360" s="11" t="n"/>
      <c r="D360" s="11" t="n"/>
      <c r="E360" s="4">
        <f>IF(OR(B360="",C360="",D360=""),"",IF(C360=D360,"ใช่","ไม่"))</f>
        <v/>
      </c>
      <c r="F360" s="4" t="n"/>
    </row>
    <row r="361" ht="15" customHeight="1" s="35">
      <c r="A361" s="23" t="n"/>
      <c r="B361" s="11" t="n"/>
      <c r="C361" s="11" t="n"/>
      <c r="D361" s="11" t="n"/>
      <c r="E361" s="4">
        <f>IF(OR(B361="",C361="",D361=""),"",IF(C361=D361,"ใช่","ไม่"))</f>
        <v/>
      </c>
      <c r="F361" s="4" t="n"/>
    </row>
    <row r="362" ht="15" customHeight="1" s="35">
      <c r="A362" s="23" t="n"/>
      <c r="B362" s="11" t="n"/>
      <c r="C362" s="11" t="n"/>
      <c r="D362" s="11" t="n"/>
      <c r="E362" s="4">
        <f>IF(OR(B362="",C362="",D362=""),"",IF(C362=D362,"ใช่","ไม่"))</f>
        <v/>
      </c>
      <c r="F362" s="4" t="n"/>
    </row>
    <row r="363" ht="15" customHeight="1" s="35">
      <c r="A363" s="23" t="n"/>
      <c r="B363" s="11" t="n"/>
      <c r="C363" s="11" t="n"/>
      <c r="D363" s="11" t="n"/>
      <c r="E363" s="4">
        <f>IF(OR(B363="",C363="",D363=""),"",IF(C363=D363,"ใช่","ไม่"))</f>
        <v/>
      </c>
      <c r="F363" s="4" t="n"/>
    </row>
    <row r="364" ht="15" customHeight="1" s="35">
      <c r="A364" s="23" t="n"/>
      <c r="B364" s="11" t="n"/>
      <c r="C364" s="11" t="n"/>
      <c r="D364" s="11" t="n"/>
      <c r="E364" s="4">
        <f>IF(OR(B364="",C364="",D364=""),"",IF(C364=D364,"ใช่","ไม่"))</f>
        <v/>
      </c>
      <c r="F364" s="4" t="n"/>
    </row>
    <row r="365" ht="15" customHeight="1" s="35">
      <c r="A365" s="23" t="n"/>
      <c r="B365" s="11" t="n"/>
      <c r="C365" s="11" t="n"/>
      <c r="D365" s="11" t="n"/>
      <c r="E365" s="4">
        <f>IF(OR(B365="",C365="",D365=""),"",IF(C365=D365,"ใช่","ไม่"))</f>
        <v/>
      </c>
      <c r="F365" s="4" t="n"/>
    </row>
    <row r="366" ht="15" customHeight="1" s="35">
      <c r="A366" s="23" t="n"/>
      <c r="B366" s="11" t="n"/>
      <c r="C366" s="11" t="n"/>
      <c r="D366" s="11" t="n"/>
      <c r="E366" s="4">
        <f>IF(OR(B366="",C366="",D366=""),"",IF(C366=D366,"ใช่","ไม่"))</f>
        <v/>
      </c>
      <c r="F366" s="4" t="n"/>
    </row>
    <row r="367" ht="15" customHeight="1" s="35">
      <c r="A367" s="23" t="n"/>
      <c r="B367" s="11" t="n"/>
      <c r="C367" s="11" t="n"/>
      <c r="D367" s="11" t="n"/>
      <c r="E367" s="4">
        <f>IF(OR(B367="",C367="",D367=""),"",IF(C367=D367,"ใช่","ไม่"))</f>
        <v/>
      </c>
      <c r="F367" s="4" t="n"/>
    </row>
    <row r="368" ht="15" customHeight="1" s="35">
      <c r="A368" s="23" t="n"/>
      <c r="B368" s="11" t="n"/>
      <c r="C368" s="11" t="n"/>
      <c r="D368" s="11" t="n"/>
      <c r="E368" s="4">
        <f>IF(OR(B368="",C368="",D368=""),"",IF(C368=D368,"ใช่","ไม่"))</f>
        <v/>
      </c>
      <c r="F368" s="4" t="n"/>
    </row>
    <row r="369" ht="15" customHeight="1" s="35">
      <c r="A369" s="23" t="n"/>
      <c r="B369" s="11" t="n"/>
      <c r="C369" s="11" t="n"/>
      <c r="D369" s="11" t="n"/>
      <c r="E369" s="4">
        <f>IF(OR(B369="",C369="",D369=""),"",IF(C369=D369,"ใช่","ไม่"))</f>
        <v/>
      </c>
      <c r="F369" s="4" t="n"/>
    </row>
    <row r="370" ht="15" customHeight="1" s="35">
      <c r="A370" s="23" t="n"/>
      <c r="B370" s="11" t="n"/>
      <c r="C370" s="11" t="n"/>
      <c r="D370" s="11" t="n"/>
      <c r="E370" s="4">
        <f>IF(OR(B370="",C370="",D370=""),"",IF(C370=D370,"ใช่","ไม่"))</f>
        <v/>
      </c>
      <c r="F370" s="4" t="n"/>
    </row>
    <row r="371" ht="15" customHeight="1" s="35">
      <c r="A371" s="23" t="n"/>
      <c r="B371" s="11" t="n"/>
      <c r="C371" s="11" t="n"/>
      <c r="D371" s="11" t="n"/>
      <c r="E371" s="4">
        <f>IF(OR(B371="",C371="",D371=""),"",IF(C371=D371,"ใช่","ไม่"))</f>
        <v/>
      </c>
      <c r="F371" s="4" t="n"/>
    </row>
    <row r="372" ht="15" customHeight="1" s="35">
      <c r="A372" s="23" t="n"/>
      <c r="B372" s="11" t="n"/>
      <c r="C372" s="11" t="n"/>
      <c r="D372" s="11" t="n"/>
      <c r="E372" s="4">
        <f>IF(OR(B372="",C372="",D372=""),"",IF(C372=D372,"ใช่","ไม่"))</f>
        <v/>
      </c>
      <c r="F372" s="4" t="n"/>
    </row>
    <row r="373" ht="15" customHeight="1" s="35">
      <c r="A373" s="23" t="n"/>
      <c r="B373" s="11" t="n"/>
      <c r="C373" s="11" t="n"/>
      <c r="D373" s="11" t="n"/>
      <c r="E373" s="4">
        <f>IF(OR(B373="",C373="",D373=""),"",IF(C373=D373,"ใช่","ไม่"))</f>
        <v/>
      </c>
      <c r="F373" s="4" t="n"/>
    </row>
    <row r="374" ht="15" customHeight="1" s="35">
      <c r="A374" s="23" t="n"/>
      <c r="B374" s="11" t="n"/>
      <c r="C374" s="11" t="n"/>
      <c r="D374" s="11" t="n"/>
      <c r="E374" s="4">
        <f>IF(OR(B374="",C374="",D374=""),"",IF(C374=D374,"ใช่","ไม่"))</f>
        <v/>
      </c>
      <c r="F374" s="4" t="n"/>
    </row>
    <row r="375" ht="15" customHeight="1" s="35">
      <c r="A375" s="23" t="n"/>
      <c r="B375" s="11" t="n"/>
      <c r="C375" s="11" t="n"/>
      <c r="D375" s="11" t="n"/>
      <c r="E375" s="4">
        <f>IF(OR(B375="",C375="",D375=""),"",IF(C375=D375,"ใช่","ไม่"))</f>
        <v/>
      </c>
      <c r="F375" s="4" t="n"/>
    </row>
    <row r="376" ht="15" customHeight="1" s="35">
      <c r="A376" s="23" t="n"/>
      <c r="B376" s="11" t="n"/>
      <c r="C376" s="11" t="n"/>
      <c r="D376" s="11" t="n"/>
      <c r="E376" s="4">
        <f>IF(OR(B376="",C376="",D376=""),"",IF(C376=D376,"ใช่","ไม่"))</f>
        <v/>
      </c>
      <c r="F376" s="4" t="n"/>
    </row>
    <row r="377" ht="15" customHeight="1" s="35">
      <c r="A377" s="23" t="n"/>
      <c r="B377" s="11" t="n"/>
      <c r="C377" s="11" t="n"/>
      <c r="D377" s="11" t="n"/>
      <c r="E377" s="4">
        <f>IF(OR(B377="",C377="",D377=""),"",IF(C377=D377,"ใช่","ไม่"))</f>
        <v/>
      </c>
      <c r="F377" s="4" t="n"/>
    </row>
    <row r="378" ht="15" customHeight="1" s="35">
      <c r="A378" s="23" t="n"/>
      <c r="B378" s="11" t="n"/>
      <c r="C378" s="11" t="n"/>
      <c r="D378" s="11" t="n"/>
      <c r="E378" s="4">
        <f>IF(OR(B378="",C378="",D378=""),"",IF(C378=D378,"ใช่","ไม่"))</f>
        <v/>
      </c>
      <c r="F378" s="4" t="n"/>
    </row>
    <row r="379" ht="15" customHeight="1" s="35">
      <c r="A379" s="23" t="n"/>
      <c r="B379" s="11" t="n"/>
      <c r="C379" s="11" t="n"/>
      <c r="D379" s="11" t="n"/>
      <c r="E379" s="4">
        <f>IF(OR(B379="",C379="",D379=""),"",IF(C379=D379,"ใช่","ไม่"))</f>
        <v/>
      </c>
      <c r="F379" s="4" t="n"/>
    </row>
    <row r="380" ht="15" customHeight="1" s="35">
      <c r="A380" s="23" t="n"/>
      <c r="B380" s="11" t="n"/>
      <c r="C380" s="11" t="n"/>
      <c r="D380" s="11" t="n"/>
      <c r="E380" s="4">
        <f>IF(OR(B380="",C380="",D380=""),"",IF(C380=D380,"ใช่","ไม่"))</f>
        <v/>
      </c>
      <c r="F380" s="4" t="n"/>
    </row>
    <row r="381" ht="15" customHeight="1" s="35">
      <c r="A381" s="23" t="n"/>
      <c r="B381" s="11" t="n"/>
      <c r="C381" s="11" t="n"/>
      <c r="D381" s="11" t="n"/>
      <c r="E381" s="4">
        <f>IF(OR(B381="",C381="",D381=""),"",IF(C381=D381,"ใช่","ไม่"))</f>
        <v/>
      </c>
      <c r="F381" s="4" t="n"/>
    </row>
    <row r="382" ht="15" customHeight="1" s="35">
      <c r="A382" s="23" t="n"/>
      <c r="B382" s="11" t="n"/>
      <c r="C382" s="11" t="n"/>
      <c r="D382" s="11" t="n"/>
      <c r="E382" s="4">
        <f>IF(OR(B382="",C382="",D382=""),"",IF(C382=D382,"ใช่","ไม่"))</f>
        <v/>
      </c>
      <c r="F382" s="4" t="n"/>
    </row>
    <row r="383" ht="15" customHeight="1" s="35">
      <c r="A383" s="23" t="n"/>
      <c r="B383" s="11" t="n"/>
      <c r="C383" s="11" t="n"/>
      <c r="D383" s="11" t="n"/>
      <c r="E383" s="4">
        <f>IF(OR(B383="",C383="",D383=""),"",IF(C383=D383,"ใช่","ไม่"))</f>
        <v/>
      </c>
      <c r="F383" s="4" t="n"/>
    </row>
    <row r="384" ht="15" customHeight="1" s="35">
      <c r="A384" s="23" t="n"/>
      <c r="B384" s="11" t="n"/>
      <c r="C384" s="11" t="n"/>
      <c r="D384" s="11" t="n"/>
      <c r="E384" s="4">
        <f>IF(OR(B384="",C384="",D384=""),"",IF(C384=D384,"ใช่","ไม่"))</f>
        <v/>
      </c>
      <c r="F384" s="4" t="n"/>
    </row>
    <row r="385" ht="15" customHeight="1" s="35">
      <c r="A385" s="23" t="n"/>
      <c r="B385" s="11" t="n"/>
      <c r="C385" s="11" t="n"/>
      <c r="D385" s="11" t="n"/>
      <c r="E385" s="4">
        <f>IF(OR(B385="",C385="",D385=""),"",IF(C385=D385,"ใช่","ไม่"))</f>
        <v/>
      </c>
      <c r="F385" s="4" t="n"/>
    </row>
    <row r="386" ht="15" customHeight="1" s="35">
      <c r="A386" s="23" t="n"/>
      <c r="B386" s="11" t="n"/>
      <c r="C386" s="11" t="n"/>
      <c r="D386" s="11" t="n"/>
      <c r="E386" s="4">
        <f>IF(OR(B386="",C386="",D386=""),"",IF(C386=D386,"ใช่","ไม่"))</f>
        <v/>
      </c>
      <c r="F386" s="4" t="n"/>
    </row>
    <row r="387" ht="15" customHeight="1" s="35">
      <c r="A387" s="23" t="n"/>
      <c r="B387" s="11" t="n"/>
      <c r="C387" s="11" t="n"/>
      <c r="D387" s="11" t="n"/>
      <c r="E387" s="4">
        <f>IF(OR(B387="",C387="",D387=""),"",IF(C387=D387,"ใช่","ไม่"))</f>
        <v/>
      </c>
      <c r="F387" s="4" t="n"/>
    </row>
    <row r="388" ht="15" customHeight="1" s="35">
      <c r="A388" s="23" t="n"/>
      <c r="B388" s="11" t="n"/>
      <c r="C388" s="11" t="n"/>
      <c r="D388" s="11" t="n"/>
      <c r="E388" s="4">
        <f>IF(OR(B388="",C388="",D388=""),"",IF(C388=D388,"ใช่","ไม่"))</f>
        <v/>
      </c>
      <c r="F388" s="4" t="n"/>
    </row>
    <row r="389" ht="15" customHeight="1" s="35">
      <c r="A389" s="23" t="n"/>
      <c r="B389" s="11" t="n"/>
      <c r="C389" s="11" t="n"/>
      <c r="D389" s="11" t="n"/>
      <c r="E389" s="4">
        <f>IF(OR(B389="",C389="",D389=""),"",IF(C389=D389,"ใช่","ไม่"))</f>
        <v/>
      </c>
      <c r="F389" s="4" t="n"/>
    </row>
    <row r="390" ht="15" customHeight="1" s="35">
      <c r="A390" s="23" t="n"/>
      <c r="B390" s="11" t="n"/>
      <c r="C390" s="11" t="n"/>
      <c r="D390" s="11" t="n"/>
      <c r="E390" s="4">
        <f>IF(OR(B390="",C390="",D390=""),"",IF(C390=D390,"ใช่","ไม่"))</f>
        <v/>
      </c>
      <c r="F390" s="4" t="n"/>
    </row>
    <row r="391" ht="15" customHeight="1" s="35">
      <c r="A391" s="23" t="n"/>
      <c r="B391" s="11" t="n"/>
      <c r="C391" s="11" t="n"/>
      <c r="D391" s="11" t="n"/>
      <c r="E391" s="4">
        <f>IF(OR(B391="",C391="",D391=""),"",IF(C391=D391,"ใช่","ไม่"))</f>
        <v/>
      </c>
      <c r="F391" s="4" t="n"/>
    </row>
    <row r="392" ht="15" customHeight="1" s="35">
      <c r="A392" s="23" t="n"/>
      <c r="B392" s="11" t="n"/>
      <c r="C392" s="11" t="n"/>
      <c r="D392" s="11" t="n"/>
      <c r="E392" s="4">
        <f>IF(OR(B392="",C392="",D392=""),"",IF(C392=D392,"ใช่","ไม่"))</f>
        <v/>
      </c>
      <c r="F392" s="4" t="n"/>
    </row>
    <row r="393" ht="15" customHeight="1" s="35">
      <c r="A393" s="23" t="n"/>
      <c r="B393" s="11" t="n"/>
      <c r="C393" s="11" t="n"/>
      <c r="D393" s="11" t="n"/>
      <c r="E393" s="4">
        <f>IF(OR(B393="",C393="",D393=""),"",IF(C393=D393,"ใช่","ไม่"))</f>
        <v/>
      </c>
      <c r="F393" s="4" t="n"/>
    </row>
    <row r="394" ht="15" customHeight="1" s="35">
      <c r="A394" s="23" t="n"/>
      <c r="B394" s="11" t="n"/>
      <c r="C394" s="11" t="n"/>
      <c r="D394" s="11" t="n"/>
      <c r="E394" s="4">
        <f>IF(OR(B394="",C394="",D394=""),"",IF(C394=D394,"ใช่","ไม่"))</f>
        <v/>
      </c>
      <c r="F394" s="4" t="n"/>
    </row>
    <row r="395" ht="15" customHeight="1" s="35">
      <c r="A395" s="23" t="n"/>
      <c r="B395" s="11" t="n"/>
      <c r="C395" s="11" t="n"/>
      <c r="D395" s="11" t="n"/>
      <c r="E395" s="4">
        <f>IF(OR(B395="",C395="",D395=""),"",IF(C395=D395,"ใช่","ไม่"))</f>
        <v/>
      </c>
      <c r="F395" s="4" t="n"/>
    </row>
    <row r="396" ht="15" customHeight="1" s="35">
      <c r="A396" s="23" t="n"/>
      <c r="B396" s="11" t="n"/>
      <c r="C396" s="11" t="n"/>
      <c r="D396" s="11" t="n"/>
      <c r="E396" s="4">
        <f>IF(OR(B396="",C396="",D396=""),"",IF(C396=D396,"ใช่","ไม่"))</f>
        <v/>
      </c>
      <c r="F396" s="4" t="n"/>
    </row>
    <row r="397" ht="15" customHeight="1" s="35">
      <c r="A397" s="23" t="n"/>
      <c r="B397" s="11" t="n"/>
      <c r="C397" s="11" t="n"/>
      <c r="D397" s="11" t="n"/>
      <c r="E397" s="4">
        <f>IF(OR(B397="",C397="",D397=""),"",IF(C397=D397,"ใช่","ไม่"))</f>
        <v/>
      </c>
      <c r="F397" s="4" t="n"/>
    </row>
    <row r="398" ht="15" customHeight="1" s="35">
      <c r="A398" s="23" t="n"/>
      <c r="B398" s="11" t="n"/>
      <c r="C398" s="11" t="n"/>
      <c r="D398" s="11" t="n"/>
      <c r="E398" s="4">
        <f>IF(OR(B398="",C398="",D398=""),"",IF(C398=D398,"ใช่","ไม่"))</f>
        <v/>
      </c>
      <c r="F398" s="4" t="n"/>
    </row>
    <row r="399" ht="15" customHeight="1" s="35">
      <c r="A399" s="23" t="n"/>
      <c r="B399" s="11" t="n"/>
      <c r="C399" s="11" t="n"/>
      <c r="D399" s="11" t="n"/>
      <c r="E399" s="4">
        <f>IF(OR(B399="",C399="",D399=""),"",IF(C399=D399,"ใช่","ไม่"))</f>
        <v/>
      </c>
      <c r="F399" s="4" t="n"/>
    </row>
    <row r="400" ht="15" customHeight="1" s="35">
      <c r="A400" s="23" t="n"/>
      <c r="B400" s="11" t="n"/>
      <c r="C400" s="11" t="n"/>
      <c r="D400" s="11" t="n"/>
      <c r="E400" s="4">
        <f>IF(OR(B400="",C400="",D400=""),"",IF(C400=D400,"ใช่","ไม่"))</f>
        <v/>
      </c>
      <c r="F400" s="4" t="n"/>
    </row>
    <row r="401" ht="15" customHeight="1" s="35">
      <c r="A401" s="23" t="n"/>
      <c r="B401" s="11" t="n"/>
      <c r="C401" s="11" t="n"/>
      <c r="D401" s="11" t="n"/>
      <c r="E401" s="4">
        <f>IF(OR(B401="",C401="",D401=""),"",IF(C401=D401,"ใช่","ไม่"))</f>
        <v/>
      </c>
      <c r="F401" s="4" t="n"/>
    </row>
  </sheetData>
  <mergeCells count="1">
    <mergeCell ref="H16:K27"/>
  </mergeCells>
  <dataValidations count="2">
    <dataValidation sqref="B2:B401" showDropDown="0" showInputMessage="0" showErrorMessage="0" allowBlank="1" type="list">
      <formula1>"บวก,ลบ,สมดุล"</formula1>
      <formula2>0</formula2>
    </dataValidation>
    <dataValidation sqref="C2:D401" showDropDown="0" showInputMessage="0" showErrorMessage="0" allowBlank="1" type="list">
      <formula1>"ขึ้น,ลง"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วันที่ข้อมูล</t>
        </is>
      </c>
      <c r="B1" t="inlineStr">
        <is>
          <t>สัญญา</t>
        </is>
      </c>
      <c r="C1" t="inlineStr">
        <is>
          <t>ราคา</t>
        </is>
      </c>
      <c r="D1" t="inlineStr">
        <is>
          <t>รวม Call Gamma</t>
        </is>
      </c>
      <c r="E1" t="inlineStr">
        <is>
          <t>รวม Put Gamma</t>
        </is>
      </c>
      <c r="F1" t="inlineStr">
        <is>
          <t>NET GEX</t>
        </is>
      </c>
      <c r="G1" t="inlineStr">
        <is>
          <t>สถานะ</t>
        </is>
      </c>
      <c r="H1" t="inlineStr">
        <is>
          <t>Gamma Flip (ใกล้ราคา)</t>
        </is>
      </c>
      <c r="I1" t="inlineStr">
        <is>
          <t>Strike gamma สูงสุด</t>
        </is>
      </c>
      <c r="J1" t="inlineStr">
        <is>
          <t>บันทึกเมื่อ</t>
        </is>
      </c>
    </row>
    <row r="2">
      <c r="A2" s="27" t="n">
        <v>46294</v>
      </c>
      <c r="B2" t="inlineStr">
        <is>
          <t>G1RV6</t>
        </is>
      </c>
      <c r="C2" s="28" t="n">
        <v>4179.7</v>
      </c>
      <c r="D2" s="29" t="n">
        <v>164</v>
      </c>
      <c r="E2" s="29" t="n">
        <v>351</v>
      </c>
      <c r="F2" s="29" t="n">
        <v>-187</v>
      </c>
      <c r="G2" t="inlineStr">
        <is>
          <t>Negative GEX (แกว่งแรง)</t>
        </is>
      </c>
      <c r="H2" s="29" t="n"/>
      <c r="I2" s="29" t="n">
        <v>4200</v>
      </c>
      <c r="J2" s="30" t="n">
        <v>46296.37627899306</v>
      </c>
    </row>
    <row r="3">
      <c r="A3" s="27" t="n">
        <v>46295</v>
      </c>
      <c r="B3" t="inlineStr">
        <is>
          <t>G1RV6</t>
        </is>
      </c>
      <c r="C3" s="28" t="n">
        <v>4186.7</v>
      </c>
      <c r="D3" s="29" t="n">
        <v>314</v>
      </c>
      <c r="E3" s="29" t="n">
        <v>471</v>
      </c>
      <c r="F3" s="29" t="n">
        <v>-157</v>
      </c>
      <c r="G3" t="inlineStr">
        <is>
          <t>Negative GEX (แกว่งแรง)</t>
        </is>
      </c>
      <c r="H3" s="29" t="n"/>
      <c r="I3" s="29" t="n">
        <v>4200</v>
      </c>
      <c r="J3" s="30" t="n">
        <v>46296.61789356481</v>
      </c>
    </row>
    <row r="4">
      <c r="A4" s="27" t="n">
        <v>46295</v>
      </c>
      <c r="B4" t="inlineStr">
        <is>
          <t>OG1V6</t>
        </is>
      </c>
      <c r="C4" s="28" t="n">
        <v>4186.7</v>
      </c>
      <c r="D4" s="29" t="n">
        <v>232</v>
      </c>
      <c r="E4" s="29" t="n">
        <v>595</v>
      </c>
      <c r="F4" s="29" t="n">
        <v>-363</v>
      </c>
      <c r="G4" t="inlineStr">
        <is>
          <t>Negative GEX (แกว่งแรง)</t>
        </is>
      </c>
      <c r="H4" s="29" t="n"/>
      <c r="I4" s="29" t="n">
        <v>4200</v>
      </c>
      <c r="J4" s="30" t="n">
        <v>46297.40990339121</v>
      </c>
    </row>
    <row r="5">
      <c r="A5" s="27" t="n">
        <v>46297</v>
      </c>
      <c r="B5" t="inlineStr">
        <is>
          <t>G1MV6</t>
        </is>
      </c>
      <c r="C5" s="28" t="n">
        <v>4162.3</v>
      </c>
      <c r="D5" s="29" t="n">
        <v>281</v>
      </c>
      <c r="E5" s="29" t="n">
        <v>339</v>
      </c>
      <c r="F5" s="29" t="n">
        <v>-58</v>
      </c>
      <c r="G5" t="inlineStr">
        <is>
          <t>Negative GEX (แกว่งแรง)</t>
        </is>
      </c>
      <c r="H5" s="29" t="n"/>
      <c r="I5" s="29" t="n">
        <v>4170</v>
      </c>
      <c r="J5" s="30" t="n">
        <v>46300.37909289352</v>
      </c>
    </row>
    <row r="6">
      <c r="A6" s="27" t="n">
        <v>46297</v>
      </c>
      <c r="B6" t="inlineStr">
        <is>
          <t>G1TV6</t>
        </is>
      </c>
      <c r="C6" s="28" t="n">
        <v>4162.3</v>
      </c>
      <c r="D6" s="29" t="n">
        <v>153</v>
      </c>
      <c r="E6" s="29" t="n">
        <v>209</v>
      </c>
      <c r="F6" s="29" t="n">
        <v>-56</v>
      </c>
      <c r="G6" t="inlineStr">
        <is>
          <t>Negative GEX (แกว่งแรง)</t>
        </is>
      </c>
      <c r="H6" s="29" t="n"/>
      <c r="I6" s="29" t="n">
        <v>4175</v>
      </c>
      <c r="J6" s="30" t="n">
        <v>46301.38515447917</v>
      </c>
    </row>
    <row r="7">
      <c r="A7" s="40" t="n">
        <v>46301</v>
      </c>
      <c r="B7" t="inlineStr">
        <is>
          <t>G1WV6</t>
        </is>
      </c>
      <c r="C7" s="28" t="n">
        <v>4158.9</v>
      </c>
      <c r="D7" s="29" t="n">
        <v>317</v>
      </c>
      <c r="E7" s="29" t="n">
        <v>327</v>
      </c>
      <c r="F7" s="29" t="n">
        <v>-10</v>
      </c>
      <c r="G7" t="inlineStr">
        <is>
          <t>Negative GEX (แกว่งแรง)</t>
        </is>
      </c>
      <c r="H7" s="29" t="n"/>
      <c r="I7" s="29" t="n">
        <v>4185</v>
      </c>
      <c r="J7" s="42" t="n">
        <v>46302.58578933147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2026-09-05T13:29:04Z</dcterms:created>
  <dcterms:modified xmlns:dcterms="http://purl.org/dc/terms/" xmlns:xsi="http://www.w3.org/2001/XMLSchema-instance" xsi:type="dcterms:W3CDTF">2026-10-07T07:03:32Z</dcterms:modified>
  <cp:lastModifiedBy>Thanadol Photaya</cp:lastModifiedBy>
  <cp:revision>7</cp:revision>
</cp:coreProperties>
</file>