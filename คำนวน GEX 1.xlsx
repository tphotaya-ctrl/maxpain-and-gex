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1" activeTab="0" autoFilterDateGrouping="1"/>
  </bookViews>
  <sheets>
    <sheet xmlns:r="http://schemas.openxmlformats.org/officeDocument/2006/relationships" name="Gamma Data" sheetId="1" state="visible" r:id="rId1"/>
    <sheet xmlns:r="http://schemas.openxmlformats.org/officeDocument/2006/relationships" name="GEX Calc" sheetId="2" state="visible" r:id="rId2"/>
    <sheet xmlns:r="http://schemas.openxmlformats.org/officeDocument/2006/relationships" name="Log" sheetId="3" state="visible" r:id="rId3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yyyy-mm-dd hh:mm"/>
    <numFmt numFmtId="167" formatCode="yyyy-mm-dd h:mm:ss"/>
  </numFmts>
  <fonts count="8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color rgb="FF0000FF"/>
      <sz val="11"/>
    </font>
    <font>
      <name val="Arial"/>
      <charset val="1"/>
      <i val="1"/>
      <color rgb="FF666666"/>
      <sz val="10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b val="1"/>
      <sz val="13"/>
    </font>
    <font>
      <name val="Arial"/>
      <charset val="1"/>
      <b val="1"/>
      <color rgb="FF008000"/>
      <sz val="12"/>
    </font>
  </fonts>
  <fills count="4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3" fontId="2" fillId="3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5" fillId="0" borderId="0" pivotButton="0" quotePrefix="0" xfId="0"/>
    <xf numFmtId="3" fontId="4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ปกติ" xfId="0" builtinId="0"/>
  </cellStyles>
  <dxfs count="4">
    <dxf>
      <fill>
        <patternFill>
          <bgColor rgb="FFF8696B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63BE7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63BE7B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NET GEX</a:t>
            </a:r>
          </a:p>
        </rich>
      </tx>
    </title>
    <plotArea>
      <lineChart>
        <grouping val="standard"/>
        <ser>
          <idx val="0"/>
          <order val="0"/>
          <tx>
            <strRef>
              <f>'GEX Calc'!C1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'GEX Calc'!$A$2:$A$74</f>
            </numRef>
          </cat>
          <val>
            <numRef>
              <f>'GEX Calc'!$C$2:$C$74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tabSelected="1" topLeftCell="A39" zoomScaleNormal="100" workbookViewId="0">
      <selection activeCell="J1" sqref="J1:P62"/>
    </sheetView>
  </sheetViews>
  <sheetFormatPr baseColWidth="8" defaultColWidth="8.7109375" defaultRowHeight="15"/>
  <cols>
    <col width="12" customWidth="1" min="1" max="1"/>
    <col width="16" customWidth="1" min="2" max="3"/>
  </cols>
  <sheetData>
    <row r="1" ht="28.5" customHeight="1">
      <c r="A1" s="1" t="inlineStr">
        <is>
          <t>STRIKE</t>
        </is>
      </c>
      <c r="B1" s="1" t="inlineStr">
        <is>
          <t>CALL GAMMA (1 Pct)</t>
        </is>
      </c>
      <c r="C1" s="1" t="inlineStr">
        <is>
          <t>PUT GAMMA (1 Pct)</t>
        </is>
      </c>
    </row>
    <row r="2">
      <c r="A2" s="2" t="n">
        <v>4195</v>
      </c>
      <c r="B2" s="2" t="n">
        <v>0</v>
      </c>
      <c r="C2" s="2" t="n">
        <v>0</v>
      </c>
    </row>
    <row r="3">
      <c r="A3" s="2" t="n">
        <v>4200</v>
      </c>
      <c r="B3" s="2" t="n">
        <v>0</v>
      </c>
      <c r="C3" s="2" t="n">
        <v>12</v>
      </c>
    </row>
    <row r="4">
      <c r="A4" s="2" t="n">
        <v>4205</v>
      </c>
      <c r="B4" s="2" t="n">
        <v>0</v>
      </c>
      <c r="C4" s="2" t="n">
        <v>2</v>
      </c>
    </row>
    <row r="5">
      <c r="A5" s="2" t="n">
        <v>4210</v>
      </c>
      <c r="B5" s="2" t="n">
        <v>0</v>
      </c>
      <c r="C5" s="2" t="n">
        <v>1</v>
      </c>
    </row>
    <row r="6">
      <c r="A6" s="2" t="n">
        <v>4215</v>
      </c>
      <c r="B6" s="2" t="n">
        <v>0</v>
      </c>
      <c r="C6" s="2" t="n">
        <v>0</v>
      </c>
    </row>
    <row r="7">
      <c r="A7" s="2" t="n">
        <v>4220</v>
      </c>
      <c r="B7" s="2" t="n">
        <v>0</v>
      </c>
      <c r="C7" s="2" t="n">
        <v>1</v>
      </c>
    </row>
    <row r="8">
      <c r="A8" s="2" t="n">
        <v>4225</v>
      </c>
      <c r="B8" s="2" t="n">
        <v>0</v>
      </c>
      <c r="C8" s="2" t="n">
        <v>7</v>
      </c>
    </row>
    <row r="9">
      <c r="A9" s="2" t="n">
        <v>4230</v>
      </c>
      <c r="B9" s="2" t="n">
        <v>0</v>
      </c>
      <c r="C9" s="2" t="n">
        <v>2</v>
      </c>
    </row>
    <row r="10">
      <c r="A10" s="2" t="n">
        <v>4235</v>
      </c>
      <c r="B10" s="2" t="n">
        <v>0</v>
      </c>
      <c r="C10" s="2" t="n">
        <v>3</v>
      </c>
    </row>
    <row r="11">
      <c r="A11" s="2" t="n">
        <v>4240</v>
      </c>
      <c r="B11" s="2" t="n">
        <v>0</v>
      </c>
      <c r="C11" s="2" t="n">
        <v>2</v>
      </c>
    </row>
    <row r="12">
      <c r="A12" s="2" t="n">
        <v>4245</v>
      </c>
      <c r="B12" s="2" t="n">
        <v>0</v>
      </c>
      <c r="C12" s="2" t="n">
        <v>4</v>
      </c>
    </row>
    <row r="13">
      <c r="A13" s="2" t="n">
        <v>4250</v>
      </c>
      <c r="B13" s="2" t="n">
        <v>4</v>
      </c>
      <c r="C13" s="2" t="n">
        <v>34</v>
      </c>
    </row>
    <row r="14">
      <c r="A14" s="2" t="n">
        <v>4255</v>
      </c>
      <c r="B14" s="2" t="n">
        <v>0</v>
      </c>
      <c r="C14" s="2" t="n">
        <v>2</v>
      </c>
    </row>
    <row r="15">
      <c r="A15" s="2" t="n">
        <v>4260</v>
      </c>
      <c r="B15" s="2" t="n">
        <v>0</v>
      </c>
      <c r="C15" s="2" t="n">
        <v>9</v>
      </c>
    </row>
    <row r="16">
      <c r="A16" s="2" t="n">
        <v>4265</v>
      </c>
      <c r="B16" s="2" t="n">
        <v>1</v>
      </c>
      <c r="C16" s="2" t="n">
        <v>11</v>
      </c>
    </row>
    <row r="17">
      <c r="A17" s="2" t="n">
        <v>4270</v>
      </c>
      <c r="B17" s="2" t="n">
        <v>1</v>
      </c>
      <c r="C17" s="2" t="n">
        <v>8</v>
      </c>
    </row>
    <row r="18">
      <c r="A18" s="2" t="n">
        <v>4275</v>
      </c>
      <c r="B18" s="2" t="n">
        <v>1</v>
      </c>
      <c r="C18" s="2" t="n">
        <v>18</v>
      </c>
    </row>
    <row r="19">
      <c r="A19" s="2" t="n">
        <v>4280</v>
      </c>
      <c r="B19" s="2" t="n">
        <v>0</v>
      </c>
      <c r="C19" s="2" t="n">
        <v>13</v>
      </c>
    </row>
    <row r="20">
      <c r="A20" s="2" t="n">
        <v>4285</v>
      </c>
      <c r="B20" s="2" t="n">
        <v>0</v>
      </c>
      <c r="C20" s="2" t="n">
        <v>11</v>
      </c>
    </row>
    <row r="21">
      <c r="A21" s="2" t="n">
        <v>4290</v>
      </c>
      <c r="B21" s="2" t="n">
        <v>1</v>
      </c>
      <c r="C21" s="2" t="n">
        <v>2</v>
      </c>
    </row>
    <row r="22">
      <c r="A22" s="2" t="n">
        <v>4295</v>
      </c>
      <c r="B22" s="2" t="n">
        <v>2</v>
      </c>
      <c r="C22" s="2" t="n">
        <v>4</v>
      </c>
    </row>
    <row r="23">
      <c r="A23" s="2" t="n">
        <v>4300</v>
      </c>
      <c r="B23" s="2" t="n">
        <v>4</v>
      </c>
      <c r="C23" s="2" t="n">
        <v>35</v>
      </c>
    </row>
    <row r="24">
      <c r="A24" s="2" t="n">
        <v>4305</v>
      </c>
      <c r="B24" s="2" t="n">
        <v>3</v>
      </c>
      <c r="C24" s="2" t="n">
        <v>5</v>
      </c>
    </row>
    <row r="25">
      <c r="A25" s="2" t="n">
        <v>4310</v>
      </c>
      <c r="B25" s="2" t="n">
        <v>4</v>
      </c>
      <c r="C25" s="2" t="n">
        <v>19</v>
      </c>
    </row>
    <row r="26">
      <c r="A26" s="2" t="n">
        <v>4315</v>
      </c>
      <c r="B26" s="2" t="n">
        <v>8</v>
      </c>
      <c r="C26" s="2" t="n">
        <v>6</v>
      </c>
    </row>
    <row r="27">
      <c r="A27" s="2" t="n">
        <v>4320</v>
      </c>
      <c r="B27" s="2" t="n">
        <v>28</v>
      </c>
      <c r="C27" s="2" t="n">
        <v>37</v>
      </c>
    </row>
    <row r="28">
      <c r="A28" s="2" t="n">
        <v>4325</v>
      </c>
      <c r="B28" s="2" t="n">
        <v>41</v>
      </c>
      <c r="C28" s="2" t="n">
        <v>182</v>
      </c>
    </row>
    <row r="29">
      <c r="A29" s="2" t="n">
        <v>4330</v>
      </c>
      <c r="B29" s="2" t="n">
        <v>9</v>
      </c>
      <c r="C29" s="2" t="n">
        <v>3</v>
      </c>
    </row>
    <row r="30">
      <c r="A30" s="2" t="n">
        <v>4335</v>
      </c>
      <c r="B30" s="2" t="n">
        <v>99</v>
      </c>
      <c r="C30" s="2" t="n">
        <v>7</v>
      </c>
    </row>
    <row r="31">
      <c r="A31" s="2" t="n">
        <v>4340</v>
      </c>
      <c r="B31" s="2" t="n">
        <v>80</v>
      </c>
      <c r="C31" s="2" t="n">
        <v>4</v>
      </c>
    </row>
    <row r="32">
      <c r="A32" s="2" t="n">
        <v>4345</v>
      </c>
      <c r="B32" s="2" t="n">
        <v>14</v>
      </c>
      <c r="C32" s="2" t="n">
        <v>9</v>
      </c>
    </row>
    <row r="33">
      <c r="A33" s="2" t="n">
        <v>4350</v>
      </c>
      <c r="B33" s="2" t="n">
        <v>38</v>
      </c>
      <c r="C33" s="2" t="n">
        <v>13</v>
      </c>
    </row>
    <row r="34" ht="14.25" customHeight="1">
      <c r="A34" s="2" t="n">
        <v>4355</v>
      </c>
      <c r="B34" s="2" t="n">
        <v>10</v>
      </c>
      <c r="C34" s="2" t="n">
        <v>0</v>
      </c>
    </row>
    <row r="35">
      <c r="A35" s="2" t="n">
        <v>4360</v>
      </c>
      <c r="B35" s="2" t="n">
        <v>19</v>
      </c>
      <c r="C35" s="2" t="n">
        <v>3</v>
      </c>
    </row>
    <row r="36">
      <c r="A36" s="2" t="n">
        <v>4365</v>
      </c>
      <c r="B36" s="2" t="n">
        <v>4</v>
      </c>
      <c r="C36" s="2" t="n">
        <v>0</v>
      </c>
    </row>
    <row r="37">
      <c r="A37" s="2" t="n">
        <v>4370</v>
      </c>
      <c r="B37" s="2" t="n">
        <v>12</v>
      </c>
      <c r="C37" s="2" t="n">
        <v>0</v>
      </c>
    </row>
    <row r="38">
      <c r="A38" s="2" t="n">
        <v>4375</v>
      </c>
      <c r="B38" s="2" t="n">
        <v>48</v>
      </c>
      <c r="C38" s="2" t="n">
        <v>8</v>
      </c>
    </row>
    <row r="39">
      <c r="A39" s="2" t="n">
        <v>4380</v>
      </c>
      <c r="B39" s="2" t="n">
        <v>8</v>
      </c>
      <c r="C39" s="2" t="n">
        <v>0</v>
      </c>
    </row>
    <row r="40">
      <c r="A40" s="2" t="n">
        <v>4385</v>
      </c>
      <c r="B40" s="2" t="n">
        <v>5</v>
      </c>
      <c r="C40" s="2" t="n">
        <v>0</v>
      </c>
    </row>
    <row r="41">
      <c r="A41" s="2" t="n">
        <v>4390</v>
      </c>
      <c r="B41" s="2" t="n">
        <v>5</v>
      </c>
      <c r="C41" s="2" t="n">
        <v>0</v>
      </c>
    </row>
    <row r="42">
      <c r="A42" s="2" t="n">
        <v>4395</v>
      </c>
      <c r="B42" s="2" t="n">
        <v>3</v>
      </c>
      <c r="C42" s="2" t="n">
        <v>1</v>
      </c>
    </row>
    <row r="43">
      <c r="A43" s="2" t="n">
        <v>4400</v>
      </c>
      <c r="B43" s="2" t="n">
        <v>18</v>
      </c>
      <c r="C43" s="2" t="n">
        <v>7</v>
      </c>
    </row>
    <row r="44">
      <c r="A44" s="2" t="n">
        <v>4405</v>
      </c>
      <c r="B44" s="2" t="n">
        <v>1</v>
      </c>
      <c r="C44" s="2" t="n">
        <v>0</v>
      </c>
    </row>
    <row r="45">
      <c r="A45" s="2" t="n">
        <v>4410</v>
      </c>
      <c r="B45" s="2" t="n">
        <v>2</v>
      </c>
      <c r="C45" s="2" t="n">
        <v>1</v>
      </c>
    </row>
    <row r="46">
      <c r="A46" s="2" t="n">
        <v>4415</v>
      </c>
      <c r="B46" s="2" t="n">
        <v>2</v>
      </c>
      <c r="C46" s="2" t="n">
        <v>0</v>
      </c>
    </row>
    <row r="47">
      <c r="A47" s="2" t="n">
        <v>4420</v>
      </c>
      <c r="B47" s="2" t="n">
        <v>1</v>
      </c>
      <c r="C47" s="2" t="n">
        <v>0</v>
      </c>
    </row>
    <row r="48">
      <c r="A48" s="2" t="n">
        <v>4425</v>
      </c>
      <c r="B48" s="2" t="n">
        <v>3</v>
      </c>
      <c r="C48" s="2" t="n">
        <v>0</v>
      </c>
    </row>
    <row r="49">
      <c r="A49" s="2" t="n">
        <v>4430</v>
      </c>
      <c r="B49" s="2" t="n">
        <v>0</v>
      </c>
      <c r="C49" s="2" t="n">
        <v>0</v>
      </c>
    </row>
    <row r="50">
      <c r="A50" s="2" t="n">
        <v>4435</v>
      </c>
      <c r="B50" s="2" t="n">
        <v>0</v>
      </c>
      <c r="C50" s="2" t="n">
        <v>0</v>
      </c>
    </row>
    <row r="51">
      <c r="A51" s="2" t="n">
        <v>4440</v>
      </c>
      <c r="B51" s="2" t="n">
        <v>1</v>
      </c>
      <c r="C51" s="2" t="n">
        <v>0</v>
      </c>
    </row>
    <row r="52">
      <c r="A52" s="2" t="n">
        <v>4445</v>
      </c>
      <c r="B52" s="2" t="n">
        <v>1</v>
      </c>
      <c r="C52" s="2" t="n">
        <v>0</v>
      </c>
    </row>
    <row r="53">
      <c r="A53" s="2" t="n">
        <v>4450</v>
      </c>
      <c r="B53" s="2" t="n">
        <v>4</v>
      </c>
      <c r="C53" s="2" t="n">
        <v>0</v>
      </c>
    </row>
    <row r="54">
      <c r="A54" s="2" t="n">
        <v>4455</v>
      </c>
      <c r="B54" s="2" t="n">
        <v>0</v>
      </c>
      <c r="C54" s="2" t="n">
        <v>0</v>
      </c>
    </row>
    <row r="55">
      <c r="A55" s="2" t="n">
        <v>4460</v>
      </c>
      <c r="B55" s="2" t="n">
        <v>0</v>
      </c>
      <c r="C55" s="2" t="n">
        <v>0</v>
      </c>
    </row>
    <row r="56">
      <c r="A56" s="2" t="n">
        <v>4465</v>
      </c>
      <c r="B56" s="2" t="n">
        <v>0</v>
      </c>
      <c r="C56" s="2" t="n">
        <v>0</v>
      </c>
    </row>
    <row r="57">
      <c r="A57" s="2" t="n">
        <v>4470</v>
      </c>
      <c r="B57" s="2" t="n">
        <v>0</v>
      </c>
      <c r="C57" s="2" t="n">
        <v>0</v>
      </c>
    </row>
    <row r="58">
      <c r="A58" s="2" t="n">
        <v>4475</v>
      </c>
      <c r="B58" s="2" t="n">
        <v>1</v>
      </c>
      <c r="C58" s="2" t="n">
        <v>0</v>
      </c>
    </row>
    <row r="59">
      <c r="A59" s="2" t="n">
        <v>4480</v>
      </c>
      <c r="B59" s="2" t="n">
        <v>0</v>
      </c>
      <c r="C59" s="2" t="n">
        <v>0</v>
      </c>
    </row>
    <row r="60">
      <c r="A60" s="2" t="n">
        <v>4485</v>
      </c>
      <c r="B60" s="2" t="n">
        <v>0</v>
      </c>
      <c r="C60" s="2" t="n">
        <v>0</v>
      </c>
    </row>
    <row r="61">
      <c r="A61" s="2" t="n">
        <v>4490</v>
      </c>
      <c r="B61" s="2" t="n">
        <v>0</v>
      </c>
      <c r="C61" s="2" t="n">
        <v>0</v>
      </c>
    </row>
    <row r="62">
      <c r="A62" s="2" t="n">
        <v>4495</v>
      </c>
      <c r="B62" s="2" t="n">
        <v>0</v>
      </c>
      <c r="C62" s="2" t="n">
        <v>0</v>
      </c>
    </row>
    <row r="63">
      <c r="A63" s="2" t="n">
        <v>4500</v>
      </c>
      <c r="B63" s="2" t="n">
        <v>1</v>
      </c>
      <c r="C63" s="2" t="n">
        <v>0</v>
      </c>
    </row>
    <row r="64">
      <c r="A64" s="2" t="n">
        <v>4505</v>
      </c>
      <c r="B64" s="2" t="n">
        <v>0</v>
      </c>
      <c r="C64" s="2" t="n">
        <v>0</v>
      </c>
    </row>
    <row r="65">
      <c r="A65" s="2" t="n">
        <v>4510</v>
      </c>
      <c r="B65" s="2" t="n">
        <v>0</v>
      </c>
      <c r="C65" s="2" t="n">
        <v>0</v>
      </c>
    </row>
    <row r="66">
      <c r="A66" s="2" t="n">
        <v>4515</v>
      </c>
      <c r="B66" s="2" t="n">
        <v>0</v>
      </c>
      <c r="C66" s="2" t="n">
        <v>0</v>
      </c>
    </row>
    <row r="67">
      <c r="A67" s="2" t="n">
        <v>4520</v>
      </c>
      <c r="B67" s="2" t="n">
        <v>0</v>
      </c>
      <c r="C67" s="2" t="n">
        <v>0</v>
      </c>
    </row>
    <row r="68">
      <c r="A68" s="2" t="n">
        <v>4525</v>
      </c>
      <c r="B68" s="2" t="n">
        <v>0</v>
      </c>
      <c r="C68" s="2" t="n">
        <v>0</v>
      </c>
    </row>
    <row r="69">
      <c r="A69" s="2" t="n">
        <v>4530</v>
      </c>
      <c r="B69" s="2" t="n">
        <v>0</v>
      </c>
      <c r="C69" s="2" t="n">
        <v>0</v>
      </c>
    </row>
    <row r="70">
      <c r="A70" s="2" t="n">
        <v>4535</v>
      </c>
      <c r="B70" s="2" t="n">
        <v>0</v>
      </c>
      <c r="C70" s="2" t="n">
        <v>0</v>
      </c>
    </row>
    <row r="71">
      <c r="A71" s="2" t="n">
        <v>4540</v>
      </c>
      <c r="B71" s="2" t="n">
        <v>0</v>
      </c>
      <c r="C71" s="2" t="n">
        <v>0</v>
      </c>
    </row>
    <row r="72">
      <c r="A72" s="2" t="n">
        <v>4545</v>
      </c>
      <c r="B72" s="2" t="n">
        <v>0</v>
      </c>
      <c r="C72" s="2" t="n">
        <v>0</v>
      </c>
    </row>
    <row r="73">
      <c r="A73" s="2" t="n">
        <v>4550</v>
      </c>
      <c r="B73" s="2" t="n">
        <v>1</v>
      </c>
      <c r="C73" s="2" t="n">
        <v>0</v>
      </c>
    </row>
    <row r="74">
      <c r="A74" s="2" t="n">
        <v>4555</v>
      </c>
      <c r="B74" s="2" t="n">
        <v>0</v>
      </c>
      <c r="C74" s="2" t="n">
        <v>0</v>
      </c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zoomScaleNormal="100" workbookViewId="0">
      <selection activeCell="E67" sqref="E67"/>
    </sheetView>
  </sheetViews>
  <sheetFormatPr baseColWidth="8" defaultColWidth="8.7109375" defaultRowHeight="15"/>
  <cols>
    <col width="12" customWidth="1" min="1" max="1"/>
    <col width="18" customWidth="1" min="2" max="3"/>
    <col width="24" customWidth="1" min="5" max="5"/>
    <col width="26" customWidth="1" min="6" max="6"/>
  </cols>
  <sheetData>
    <row r="1" ht="28.5" customHeight="1">
      <c r="A1" s="1" t="inlineStr">
        <is>
          <t>STRIKE</t>
        </is>
      </c>
      <c r="B1" s="1" t="inlineStr">
        <is>
          <t>NET GAMMA (Call-Put)</t>
        </is>
      </c>
      <c r="C1" s="1" t="inlineStr">
        <is>
          <t>CUMULATIVE NET GEX</t>
        </is>
      </c>
    </row>
    <row r="2">
      <c r="A2" s="3">
        <f>IF('Gamma Data'!A2="","",'Gamma Data'!A2)</f>
        <v/>
      </c>
      <c r="B2" s="3">
        <f>IF(A2="","",'Gamma Data'!B2-'Gamma Data'!C2)</f>
        <v/>
      </c>
      <c r="C2" s="3">
        <f>IF(A2="","",B2)</f>
        <v/>
      </c>
      <c r="E2" s="4" t="inlineStr">
        <is>
          <t>รวม Call Gamma</t>
        </is>
      </c>
      <c r="F2" s="5">
        <f>SUM('Gamma Data'!B2:B201)</f>
        <v/>
      </c>
    </row>
    <row r="3">
      <c r="A3" s="3">
        <f>IF('Gamma Data'!A3="","",'Gamma Data'!A3)</f>
        <v/>
      </c>
      <c r="B3" s="3">
        <f>IF(A3="","",'Gamma Data'!B3-'Gamma Data'!C3)</f>
        <v/>
      </c>
      <c r="C3" s="3">
        <f>IF(A3="","",N(C2)+B3)</f>
        <v/>
      </c>
      <c r="E3" s="4" t="inlineStr">
        <is>
          <t>รวม Put Gamma</t>
        </is>
      </c>
      <c r="F3" s="5">
        <f>SUM('Gamma Data'!C2:C201)</f>
        <v/>
      </c>
    </row>
    <row r="4" ht="16.15" customHeight="1">
      <c r="A4" s="3">
        <f>IF('Gamma Data'!A4="","",'Gamma Data'!A4)</f>
        <v/>
      </c>
      <c r="B4" s="3">
        <f>IF(A4="","",'Gamma Data'!B4-'Gamma Data'!C4)</f>
        <v/>
      </c>
      <c r="C4" s="3">
        <f>IF(A4="","",N(C3)+B4)</f>
        <v/>
      </c>
      <c r="E4" s="4" t="inlineStr">
        <is>
          <t>NET GEX</t>
        </is>
      </c>
      <c r="F4" s="6">
        <f>F2-F3</f>
        <v/>
      </c>
    </row>
    <row r="5">
      <c r="A5" s="3">
        <f>IF('Gamma Data'!A5="","",'Gamma Data'!A5)</f>
        <v/>
      </c>
      <c r="B5" s="3">
        <f>IF(A5="","",'Gamma Data'!B5-'Gamma Data'!C5)</f>
        <v/>
      </c>
      <c r="C5" s="3">
        <f>IF(A5="","",N(C4)+B5)</f>
        <v/>
      </c>
      <c r="E5" s="4" t="inlineStr">
        <is>
          <t>สถานะ</t>
        </is>
      </c>
      <c r="F5" s="7">
        <f>IF(F4&gt;0,"Positive GEX (นิ่ง)","Negative GEX (แกว่งแรง)")</f>
        <v/>
      </c>
    </row>
    <row r="6">
      <c r="A6" s="3">
        <f>IF('Gamma Data'!A6="","",'Gamma Data'!A6)</f>
        <v/>
      </c>
      <c r="B6" s="3">
        <f>IF(A6="","",'Gamma Data'!B6-'Gamma Data'!C6)</f>
        <v/>
      </c>
      <c r="C6" s="3">
        <f>IF(A6="","",N(C5)+B6)</f>
        <v/>
      </c>
      <c r="E6" s="4" t="inlineStr">
        <is>
          <t>ขอบบนเป็น 0 ครบไหม?</t>
        </is>
      </c>
      <c r="F6" s="8">
        <f>IF(AND('Gamma Data'!B2=0,'Gamma Data'!C2=0),"ครบ","ยังไม่ครบ - ขยาย Strikes เพิ่ม")</f>
        <v/>
      </c>
    </row>
    <row r="7">
      <c r="A7" s="3">
        <f>IF('Gamma Data'!A7="","",'Gamma Data'!A7)</f>
        <v/>
      </c>
      <c r="B7" s="3">
        <f>IF(A7="","",'Gamma Data'!B7-'Gamma Data'!C7)</f>
        <v/>
      </c>
      <c r="C7" s="3">
        <f>IF(A7="","",N(C6)+B7)</f>
        <v/>
      </c>
      <c r="E7" s="4" t="inlineStr">
        <is>
          <t>ขอบล่างเป็น 0 ครบไหม?</t>
        </is>
      </c>
      <c r="F7" s="8">
        <f>IF(AND(INDEX('Gamma Data'!B2:B201,COUNT('Gamma Data'!A2:A201))=0,INDEX('Gamma Data'!C2:C201,COUNT('Gamma Data'!A2:A201))=0),"ครบ","ยังไม่ครบ - ขยาย Strikes เพิ่ม")</f>
        <v/>
      </c>
    </row>
    <row r="8">
      <c r="A8" s="3">
        <f>IF('Gamma Data'!A8="","",'Gamma Data'!A8)</f>
        <v/>
      </c>
      <c r="B8" s="3">
        <f>IF(A8="","",'Gamma Data'!B8-'Gamma Data'!C8)</f>
        <v/>
      </c>
      <c r="C8" s="3">
        <f>IF(A8="","",N(C7)+B8)</f>
        <v/>
      </c>
    </row>
    <row r="9" ht="15" customHeight="1">
      <c r="A9" s="3">
        <f>IF('Gamma Data'!A9="","",'Gamma Data'!A9)</f>
        <v/>
      </c>
      <c r="B9" s="3">
        <f>IF(A9="","",'Gamma Data'!B9-'Gamma Data'!C9)</f>
        <v/>
      </c>
      <c r="C9" s="3">
        <f>IF(A9="","",N(C8)+B9)</f>
        <v/>
      </c>
      <c r="E9" s="9" t="inlineStr">
        <is>
          <t>CUMULATIVE NET GEX คือผลรวมสะสมของ Net Gamma ไล่จาก strike ต่ำสุดขึ้นไปสูงสุด ใช้ดูคร่าวๆว่าราคาระดับไหนที่ผลสะสมพลิกจากลบเป็นบวก (แนวคิดใกล้เคียง Gamma Flip แต่เป็นเวอร์ชันง่าย ไม่ใช่โมเดล dealer positioning เต็มรูปแบบ)</t>
        </is>
      </c>
    </row>
    <row r="10">
      <c r="A10" s="3">
        <f>IF('Gamma Data'!A10="","",'Gamma Data'!A10)</f>
        <v/>
      </c>
      <c r="B10" s="3">
        <f>IF(A10="","",'Gamma Data'!B10-'Gamma Data'!C10)</f>
        <v/>
      </c>
      <c r="C10" s="3">
        <f>IF(A10="","",N(C9)+B10)</f>
        <v/>
      </c>
    </row>
    <row r="11">
      <c r="A11" s="3">
        <f>IF('Gamma Data'!A11="","",'Gamma Data'!A11)</f>
        <v/>
      </c>
      <c r="B11" s="3">
        <f>IF(A11="","",'Gamma Data'!B11-'Gamma Data'!C11)</f>
        <v/>
      </c>
      <c r="C11" s="3">
        <f>IF(A11="","",N(C10)+B11)</f>
        <v/>
      </c>
    </row>
    <row r="12">
      <c r="A12" s="3">
        <f>IF('Gamma Data'!A12="","",'Gamma Data'!A12)</f>
        <v/>
      </c>
      <c r="B12" s="3">
        <f>IF(A12="","",'Gamma Data'!B12-'Gamma Data'!C12)</f>
        <v/>
      </c>
      <c r="C12" s="3">
        <f>IF(A12="","",N(C11)+B12)</f>
        <v/>
      </c>
    </row>
    <row r="13">
      <c r="A13" s="3">
        <f>IF('Gamma Data'!A13="","",'Gamma Data'!A13)</f>
        <v/>
      </c>
      <c r="B13" s="3">
        <f>IF(A13="","",'Gamma Data'!B13-'Gamma Data'!C13)</f>
        <v/>
      </c>
      <c r="C13" s="3">
        <f>IF(A13="","",N(C12)+B13)</f>
        <v/>
      </c>
    </row>
    <row r="14">
      <c r="A14" s="3">
        <f>IF('Gamma Data'!A14="","",'Gamma Data'!A14)</f>
        <v/>
      </c>
      <c r="B14" s="3">
        <f>IF(A14="","",'Gamma Data'!B14-'Gamma Data'!C14)</f>
        <v/>
      </c>
      <c r="C14" s="3">
        <f>IF(A14="","",N(C13)+B14)</f>
        <v/>
      </c>
    </row>
    <row r="15">
      <c r="A15" s="3">
        <f>IF('Gamma Data'!A15="","",'Gamma Data'!A15)</f>
        <v/>
      </c>
      <c r="B15" s="3">
        <f>IF(A15="","",'Gamma Data'!B15-'Gamma Data'!C15)</f>
        <v/>
      </c>
      <c r="C15" s="3">
        <f>IF(A15="","",N(C14)+B15)</f>
        <v/>
      </c>
    </row>
    <row r="16">
      <c r="A16" s="3">
        <f>IF('Gamma Data'!A16="","",'Gamma Data'!A16)</f>
        <v/>
      </c>
      <c r="B16" s="3">
        <f>IF(A16="","",'Gamma Data'!B16-'Gamma Data'!C16)</f>
        <v/>
      </c>
      <c r="C16" s="3">
        <f>IF(A16="","",N(C15)+B16)</f>
        <v/>
      </c>
    </row>
    <row r="17">
      <c r="A17" s="3">
        <f>IF('Gamma Data'!A17="","",'Gamma Data'!A17)</f>
        <v/>
      </c>
      <c r="B17" s="3">
        <f>IF(A17="","",'Gamma Data'!B17-'Gamma Data'!C17)</f>
        <v/>
      </c>
      <c r="C17" s="3">
        <f>IF(A17="","",N(C16)+B17)</f>
        <v/>
      </c>
    </row>
    <row r="18">
      <c r="A18" s="3">
        <f>IF('Gamma Data'!A18="","",'Gamma Data'!A18)</f>
        <v/>
      </c>
      <c r="B18" s="3">
        <f>IF(A18="","",'Gamma Data'!B18-'Gamma Data'!C18)</f>
        <v/>
      </c>
      <c r="C18" s="3">
        <f>IF(A18="","",N(C17)+B18)</f>
        <v/>
      </c>
    </row>
    <row r="19">
      <c r="A19" s="3">
        <f>IF('Gamma Data'!A19="","",'Gamma Data'!A19)</f>
        <v/>
      </c>
      <c r="B19" s="3">
        <f>IF(A19="","",'Gamma Data'!B19-'Gamma Data'!C19)</f>
        <v/>
      </c>
      <c r="C19" s="3">
        <f>IF(A19="","",N(C18)+B19)</f>
        <v/>
      </c>
    </row>
    <row r="20">
      <c r="A20" s="3">
        <f>IF('Gamma Data'!A20="","",'Gamma Data'!A20)</f>
        <v/>
      </c>
      <c r="B20" s="3">
        <f>IF(A20="","",'Gamma Data'!B20-'Gamma Data'!C20)</f>
        <v/>
      </c>
      <c r="C20" s="3">
        <f>IF(A20="","",N(C19)+B20)</f>
        <v/>
      </c>
    </row>
    <row r="21">
      <c r="A21" s="3">
        <f>IF('Gamma Data'!A21="","",'Gamma Data'!A21)</f>
        <v/>
      </c>
      <c r="B21" s="3">
        <f>IF(A21="","",'Gamma Data'!B21-'Gamma Data'!C21)</f>
        <v/>
      </c>
      <c r="C21" s="3">
        <f>IF(A21="","",N(C20)+B21)</f>
        <v/>
      </c>
    </row>
    <row r="22">
      <c r="A22" s="3">
        <f>IF('Gamma Data'!A22="","",'Gamma Data'!A22)</f>
        <v/>
      </c>
      <c r="B22" s="3">
        <f>IF(A22="","",'Gamma Data'!B22-'Gamma Data'!C22)</f>
        <v/>
      </c>
      <c r="C22" s="3">
        <f>IF(A22="","",N(C21)+B22)</f>
        <v/>
      </c>
    </row>
    <row r="23">
      <c r="A23" s="3">
        <f>IF('Gamma Data'!A23="","",'Gamma Data'!A23)</f>
        <v/>
      </c>
      <c r="B23" s="3">
        <f>IF(A23="","",'Gamma Data'!B23-'Gamma Data'!C23)</f>
        <v/>
      </c>
      <c r="C23" s="3">
        <f>IF(A23="","",N(C22)+B23)</f>
        <v/>
      </c>
    </row>
    <row r="24">
      <c r="A24" s="3">
        <f>IF('Gamma Data'!A24="","",'Gamma Data'!A24)</f>
        <v/>
      </c>
      <c r="B24" s="3">
        <f>IF(A24="","",'Gamma Data'!B24-'Gamma Data'!C24)</f>
        <v/>
      </c>
      <c r="C24" s="3">
        <f>IF(A24="","",N(C23)+B24)</f>
        <v/>
      </c>
    </row>
    <row r="25">
      <c r="A25" s="3">
        <f>IF('Gamma Data'!A25="","",'Gamma Data'!A25)</f>
        <v/>
      </c>
      <c r="B25" s="3">
        <f>IF(A25="","",'Gamma Data'!B25-'Gamma Data'!C25)</f>
        <v/>
      </c>
      <c r="C25" s="3">
        <f>IF(A25="","",N(C24)+B25)</f>
        <v/>
      </c>
    </row>
    <row r="26">
      <c r="A26" s="3">
        <f>IF('Gamma Data'!A26="","",'Gamma Data'!A26)</f>
        <v/>
      </c>
      <c r="B26" s="3">
        <f>IF(A26="","",'Gamma Data'!B26-'Gamma Data'!C26)</f>
        <v/>
      </c>
      <c r="C26" s="3">
        <f>IF(A26="","",N(C25)+B26)</f>
        <v/>
      </c>
    </row>
    <row r="27">
      <c r="A27" s="3">
        <f>IF('Gamma Data'!A27="","",'Gamma Data'!A27)</f>
        <v/>
      </c>
      <c r="B27" s="3">
        <f>IF(A27="","",'Gamma Data'!B27-'Gamma Data'!C27)</f>
        <v/>
      </c>
      <c r="C27" s="3">
        <f>IF(A27="","",N(C26)+B27)</f>
        <v/>
      </c>
    </row>
    <row r="28">
      <c r="A28" s="3">
        <f>IF('Gamma Data'!A28="","",'Gamma Data'!A28)</f>
        <v/>
      </c>
      <c r="B28" s="3">
        <f>IF(A28="","",'Gamma Data'!B28-'Gamma Data'!C28)</f>
        <v/>
      </c>
      <c r="C28" s="3">
        <f>IF(A28="","",N(C27)+B28)</f>
        <v/>
      </c>
    </row>
    <row r="29">
      <c r="A29" s="3">
        <f>IF('Gamma Data'!A29="","",'Gamma Data'!A29)</f>
        <v/>
      </c>
      <c r="B29" s="3">
        <f>IF(A29="","",'Gamma Data'!B29-'Gamma Data'!C29)</f>
        <v/>
      </c>
      <c r="C29" s="3">
        <f>IF(A29="","",N(C28)+B29)</f>
        <v/>
      </c>
    </row>
    <row r="30">
      <c r="A30" s="3">
        <f>IF('Gamma Data'!A30="","",'Gamma Data'!A30)</f>
        <v/>
      </c>
      <c r="B30" s="3">
        <f>IF(A30="","",'Gamma Data'!B30-'Gamma Data'!C30)</f>
        <v/>
      </c>
      <c r="C30" s="3">
        <f>IF(A30="","",N(C29)+B30)</f>
        <v/>
      </c>
    </row>
    <row r="31">
      <c r="A31" s="3">
        <f>IF('Gamma Data'!A31="","",'Gamma Data'!A31)</f>
        <v/>
      </c>
      <c r="B31" s="3">
        <f>IF(A31="","",'Gamma Data'!B31-'Gamma Data'!C31)</f>
        <v/>
      </c>
      <c r="C31" s="3">
        <f>IF(A31="","",N(C30)+B31)</f>
        <v/>
      </c>
    </row>
    <row r="32">
      <c r="A32" s="3">
        <f>IF('Gamma Data'!A32="","",'Gamma Data'!A32)</f>
        <v/>
      </c>
      <c r="B32" s="3">
        <f>IF(A32="","",'Gamma Data'!B32-'Gamma Data'!C32)</f>
        <v/>
      </c>
      <c r="C32" s="3">
        <f>IF(A32="","",N(C31)+B32)</f>
        <v/>
      </c>
    </row>
    <row r="33">
      <c r="A33" s="3">
        <f>IF('Gamma Data'!A33="","",'Gamma Data'!A33)</f>
        <v/>
      </c>
      <c r="B33" s="3">
        <f>IF(A33="","",'Gamma Data'!B33-'Gamma Data'!C33)</f>
        <v/>
      </c>
      <c r="C33" s="3">
        <f>IF(A33="","",N(C32)+B33)</f>
        <v/>
      </c>
    </row>
    <row r="34">
      <c r="A34" s="3">
        <f>IF('Gamma Data'!A34="","",'Gamma Data'!A34)</f>
        <v/>
      </c>
      <c r="B34" s="3">
        <f>IF(A34="","",'Gamma Data'!B34-'Gamma Data'!C34)</f>
        <v/>
      </c>
      <c r="C34" s="3">
        <f>IF(A34="","",N(C33)+B34)</f>
        <v/>
      </c>
    </row>
    <row r="35">
      <c r="A35" s="3">
        <f>IF('Gamma Data'!A35="","",'Gamma Data'!A35)</f>
        <v/>
      </c>
      <c r="B35" s="3">
        <f>IF(A35="","",'Gamma Data'!B35-'Gamma Data'!C35)</f>
        <v/>
      </c>
      <c r="C35" s="3">
        <f>IF(A35="","",N(C34)+B35)</f>
        <v/>
      </c>
    </row>
    <row r="36">
      <c r="A36" s="3">
        <f>IF('Gamma Data'!A36="","",'Gamma Data'!A36)</f>
        <v/>
      </c>
      <c r="B36" s="3">
        <f>IF(A36="","",'Gamma Data'!B36-'Gamma Data'!C36)</f>
        <v/>
      </c>
      <c r="C36" s="3">
        <f>IF(A36="","",N(C35)+B36)</f>
        <v/>
      </c>
    </row>
    <row r="37">
      <c r="A37" s="3">
        <f>IF('Gamma Data'!A37="","",'Gamma Data'!A37)</f>
        <v/>
      </c>
      <c r="B37" s="3">
        <f>IF(A37="","",'Gamma Data'!B37-'Gamma Data'!C37)</f>
        <v/>
      </c>
      <c r="C37" s="3">
        <f>IF(A37="","",N(C36)+B37)</f>
        <v/>
      </c>
    </row>
    <row r="38">
      <c r="A38" s="3">
        <f>IF('Gamma Data'!A38="","",'Gamma Data'!A38)</f>
        <v/>
      </c>
      <c r="B38" s="3">
        <f>IF(A38="","",'Gamma Data'!B38-'Gamma Data'!C38)</f>
        <v/>
      </c>
      <c r="C38" s="3">
        <f>IF(A38="","",N(C37)+B38)</f>
        <v/>
      </c>
    </row>
    <row r="39">
      <c r="A39" s="3">
        <f>IF('Gamma Data'!A39="","",'Gamma Data'!A39)</f>
        <v/>
      </c>
      <c r="B39" s="3">
        <f>IF(A39="","",'Gamma Data'!B39-'Gamma Data'!C39)</f>
        <v/>
      </c>
      <c r="C39" s="3">
        <f>IF(A39="","",N(C38)+B39)</f>
        <v/>
      </c>
    </row>
    <row r="40">
      <c r="A40" s="3">
        <f>IF('Gamma Data'!A40="","",'Gamma Data'!A40)</f>
        <v/>
      </c>
      <c r="B40" s="3">
        <f>IF(A40="","",'Gamma Data'!B40-'Gamma Data'!C40)</f>
        <v/>
      </c>
      <c r="C40" s="3">
        <f>IF(A40="","",N(C39)+B40)</f>
        <v/>
      </c>
    </row>
    <row r="41">
      <c r="A41" s="3">
        <f>IF('Gamma Data'!A41="","",'Gamma Data'!A41)</f>
        <v/>
      </c>
      <c r="B41" s="3">
        <f>IF(A41="","",'Gamma Data'!B41-'Gamma Data'!C41)</f>
        <v/>
      </c>
      <c r="C41" s="3">
        <f>IF(A41="","",N(C40)+B41)</f>
        <v/>
      </c>
    </row>
    <row r="42">
      <c r="A42" s="3">
        <f>IF('Gamma Data'!A42="","",'Gamma Data'!A42)</f>
        <v/>
      </c>
      <c r="B42" s="3">
        <f>IF(A42="","",'Gamma Data'!B42-'Gamma Data'!C42)</f>
        <v/>
      </c>
      <c r="C42" s="3">
        <f>IF(A42="","",N(C41)+B42)</f>
        <v/>
      </c>
    </row>
    <row r="43">
      <c r="A43" s="3">
        <f>IF('Gamma Data'!A43="","",'Gamma Data'!A43)</f>
        <v/>
      </c>
      <c r="B43" s="3">
        <f>IF(A43="","",'Gamma Data'!B43-'Gamma Data'!C43)</f>
        <v/>
      </c>
      <c r="C43" s="3">
        <f>IF(A43="","",N(C42)+B43)</f>
        <v/>
      </c>
    </row>
    <row r="44">
      <c r="A44" s="3">
        <f>IF('Gamma Data'!A44="","",'Gamma Data'!A44)</f>
        <v/>
      </c>
      <c r="B44" s="3">
        <f>IF(A44="","",'Gamma Data'!B44-'Gamma Data'!C44)</f>
        <v/>
      </c>
      <c r="C44" s="3">
        <f>IF(A44="","",N(C43)+B44)</f>
        <v/>
      </c>
    </row>
    <row r="45">
      <c r="A45" s="3">
        <f>IF('Gamma Data'!A45="","",'Gamma Data'!A45)</f>
        <v/>
      </c>
      <c r="B45" s="3">
        <f>IF(A45="","",'Gamma Data'!B45-'Gamma Data'!C45)</f>
        <v/>
      </c>
      <c r="C45" s="3">
        <f>IF(A45="","",N(C44)+B45)</f>
        <v/>
      </c>
    </row>
    <row r="46">
      <c r="A46" s="3">
        <f>IF('Gamma Data'!A46="","",'Gamma Data'!A46)</f>
        <v/>
      </c>
      <c r="B46" s="3">
        <f>IF(A46="","",'Gamma Data'!B46-'Gamma Data'!C46)</f>
        <v/>
      </c>
      <c r="C46" s="3">
        <f>IF(A46="","",N(C45)+B46)</f>
        <v/>
      </c>
    </row>
    <row r="47">
      <c r="A47" s="3">
        <f>IF('Gamma Data'!A47="","",'Gamma Data'!A47)</f>
        <v/>
      </c>
      <c r="B47" s="3">
        <f>IF(A47="","",'Gamma Data'!B47-'Gamma Data'!C47)</f>
        <v/>
      </c>
      <c r="C47" s="3">
        <f>IF(A47="","",N(C46)+B47)</f>
        <v/>
      </c>
    </row>
    <row r="48">
      <c r="A48" s="3">
        <f>IF('Gamma Data'!A48="","",'Gamma Data'!A48)</f>
        <v/>
      </c>
      <c r="B48" s="3">
        <f>IF(A48="","",'Gamma Data'!B48-'Gamma Data'!C48)</f>
        <v/>
      </c>
      <c r="C48" s="3">
        <f>IF(A48="","",N(C47)+B48)</f>
        <v/>
      </c>
    </row>
    <row r="49">
      <c r="A49" s="3">
        <f>IF('Gamma Data'!A49="","",'Gamma Data'!A49)</f>
        <v/>
      </c>
      <c r="B49" s="3">
        <f>IF(A49="","",'Gamma Data'!B49-'Gamma Data'!C49)</f>
        <v/>
      </c>
      <c r="C49" s="3">
        <f>IF(A49="","",N(C48)+B49)</f>
        <v/>
      </c>
    </row>
    <row r="50">
      <c r="A50" s="3">
        <f>IF('Gamma Data'!A50="","",'Gamma Data'!A50)</f>
        <v/>
      </c>
      <c r="B50" s="3">
        <f>IF(A50="","",'Gamma Data'!B50-'Gamma Data'!C50)</f>
        <v/>
      </c>
      <c r="C50" s="3">
        <f>IF(A50="","",N(C49)+B50)</f>
        <v/>
      </c>
    </row>
    <row r="51">
      <c r="A51" s="3">
        <f>IF('Gamma Data'!A51="","",'Gamma Data'!A51)</f>
        <v/>
      </c>
      <c r="B51" s="3">
        <f>IF(A51="","",'Gamma Data'!B51-'Gamma Data'!C51)</f>
        <v/>
      </c>
      <c r="C51" s="3">
        <f>IF(A51="","",N(C50)+B51)</f>
        <v/>
      </c>
    </row>
    <row r="52">
      <c r="A52" s="3">
        <f>IF('Gamma Data'!A52="","",'Gamma Data'!A52)</f>
        <v/>
      </c>
      <c r="B52" s="3">
        <f>IF(A52="","",'Gamma Data'!B52-'Gamma Data'!C52)</f>
        <v/>
      </c>
      <c r="C52" s="3">
        <f>IF(A52="","",N(C51)+B52)</f>
        <v/>
      </c>
    </row>
    <row r="53">
      <c r="A53" s="3">
        <f>IF('Gamma Data'!A53="","",'Gamma Data'!A53)</f>
        <v/>
      </c>
      <c r="B53" s="3">
        <f>IF(A53="","",'Gamma Data'!B53-'Gamma Data'!C53)</f>
        <v/>
      </c>
      <c r="C53" s="3">
        <f>IF(A53="","",N(C52)+B53)</f>
        <v/>
      </c>
    </row>
    <row r="54">
      <c r="A54" s="3">
        <f>IF('Gamma Data'!A54="","",'Gamma Data'!A54)</f>
        <v/>
      </c>
      <c r="B54" s="3">
        <f>IF(A54="","",'Gamma Data'!B54-'Gamma Data'!C54)</f>
        <v/>
      </c>
      <c r="C54" s="3">
        <f>IF(A54="","",N(C53)+B54)</f>
        <v/>
      </c>
    </row>
    <row r="55">
      <c r="A55" s="3">
        <f>IF('Gamma Data'!A55="","",'Gamma Data'!A55)</f>
        <v/>
      </c>
      <c r="B55" s="3">
        <f>IF(A55="","",'Gamma Data'!B55-'Gamma Data'!C55)</f>
        <v/>
      </c>
      <c r="C55" s="3">
        <f>IF(A55="","",N(C54)+B55)</f>
        <v/>
      </c>
    </row>
    <row r="56">
      <c r="A56" s="3">
        <f>IF('Gamma Data'!A56="","",'Gamma Data'!A56)</f>
        <v/>
      </c>
      <c r="B56" s="3">
        <f>IF(A56="","",'Gamma Data'!B56-'Gamma Data'!C56)</f>
        <v/>
      </c>
      <c r="C56" s="3">
        <f>IF(A56="","",N(C55)+B56)</f>
        <v/>
      </c>
    </row>
    <row r="57">
      <c r="A57" s="3">
        <f>IF('Gamma Data'!A57="","",'Gamma Data'!A57)</f>
        <v/>
      </c>
      <c r="B57" s="3">
        <f>IF(A57="","",'Gamma Data'!B57-'Gamma Data'!C57)</f>
        <v/>
      </c>
      <c r="C57" s="3">
        <f>IF(A57="","",N(C56)+B57)</f>
        <v/>
      </c>
    </row>
    <row r="58">
      <c r="A58" s="3">
        <f>IF('Gamma Data'!A58="","",'Gamma Data'!A58)</f>
        <v/>
      </c>
      <c r="B58" s="3">
        <f>IF(A58="","",'Gamma Data'!B58-'Gamma Data'!C58)</f>
        <v/>
      </c>
      <c r="C58" s="3">
        <f>IF(A58="","",N(C57)+B58)</f>
        <v/>
      </c>
    </row>
    <row r="59">
      <c r="A59" s="3">
        <f>IF('Gamma Data'!A59="","",'Gamma Data'!A59)</f>
        <v/>
      </c>
      <c r="B59" s="3">
        <f>IF(A59="","",'Gamma Data'!B59-'Gamma Data'!C59)</f>
        <v/>
      </c>
      <c r="C59" s="3">
        <f>IF(A59="","",N(C58)+B59)</f>
        <v/>
      </c>
    </row>
    <row r="60">
      <c r="A60" s="3">
        <f>IF('Gamma Data'!A60="","",'Gamma Data'!A60)</f>
        <v/>
      </c>
      <c r="B60" s="3">
        <f>IF(A60="","",'Gamma Data'!B60-'Gamma Data'!C60)</f>
        <v/>
      </c>
      <c r="C60" s="3">
        <f>IF(A60="","",N(C59)+B60)</f>
        <v/>
      </c>
    </row>
    <row r="61">
      <c r="A61" s="3">
        <f>IF('Gamma Data'!A61="","",'Gamma Data'!A61)</f>
        <v/>
      </c>
      <c r="B61" s="3">
        <f>IF(A61="","",'Gamma Data'!B61-'Gamma Data'!C61)</f>
        <v/>
      </c>
      <c r="C61" s="3">
        <f>IF(A61="","",N(C60)+B61)</f>
        <v/>
      </c>
    </row>
    <row r="62">
      <c r="A62" s="3">
        <f>IF('Gamma Data'!A62="","",'Gamma Data'!A62)</f>
        <v/>
      </c>
      <c r="B62" s="3">
        <f>IF(A62="","",'Gamma Data'!B62-'Gamma Data'!C62)</f>
        <v/>
      </c>
      <c r="C62" s="3">
        <f>IF(A62="","",N(C61)+B62)</f>
        <v/>
      </c>
    </row>
    <row r="63">
      <c r="A63" s="3">
        <f>IF('Gamma Data'!A63="","",'Gamma Data'!A63)</f>
        <v/>
      </c>
      <c r="B63" s="3">
        <f>IF(A63="","",'Gamma Data'!B63-'Gamma Data'!C63)</f>
        <v/>
      </c>
      <c r="C63" s="3">
        <f>IF(A63="","",N(C62)+B63)</f>
        <v/>
      </c>
    </row>
    <row r="64">
      <c r="A64" s="3">
        <f>IF('Gamma Data'!A64="","",'Gamma Data'!A64)</f>
        <v/>
      </c>
      <c r="B64" s="3">
        <f>IF(A64="","",'Gamma Data'!B64-'Gamma Data'!C64)</f>
        <v/>
      </c>
      <c r="C64" s="3">
        <f>IF(A64="","",N(C63)+B64)</f>
        <v/>
      </c>
    </row>
    <row r="65">
      <c r="A65" s="3">
        <f>IF('Gamma Data'!A65="","",'Gamma Data'!A65)</f>
        <v/>
      </c>
      <c r="B65" s="3">
        <f>IF(A65="","",'Gamma Data'!B65-'Gamma Data'!C65)</f>
        <v/>
      </c>
      <c r="C65" s="3">
        <f>IF(A65="","",N(C64)+B65)</f>
        <v/>
      </c>
    </row>
    <row r="66">
      <c r="A66" s="3">
        <f>IF('Gamma Data'!A66="","",'Gamma Data'!A66)</f>
        <v/>
      </c>
      <c r="B66" s="3">
        <f>IF(A66="","",'Gamma Data'!B66-'Gamma Data'!C66)</f>
        <v/>
      </c>
      <c r="C66" s="3">
        <f>IF(A66="","",N(C65)+B66)</f>
        <v/>
      </c>
    </row>
    <row r="67">
      <c r="A67" s="3">
        <f>IF('Gamma Data'!A67="","",'Gamma Data'!A67)</f>
        <v/>
      </c>
      <c r="B67" s="3">
        <f>IF(A67="","",'Gamma Data'!B67-'Gamma Data'!C67)</f>
        <v/>
      </c>
      <c r="C67" s="3">
        <f>IF(A67="","",N(C66)+B67)</f>
        <v/>
      </c>
    </row>
    <row r="68">
      <c r="A68" s="3">
        <f>IF('Gamma Data'!A68="","",'Gamma Data'!A68)</f>
        <v/>
      </c>
      <c r="B68" s="3">
        <f>IF(A68="","",'Gamma Data'!B68-'Gamma Data'!C68)</f>
        <v/>
      </c>
      <c r="C68" s="3">
        <f>IF(A68="","",N(C67)+B68)</f>
        <v/>
      </c>
    </row>
    <row r="69">
      <c r="A69" s="3">
        <f>IF('Gamma Data'!A69="","",'Gamma Data'!A69)</f>
        <v/>
      </c>
      <c r="B69" s="3">
        <f>IF(A69="","",'Gamma Data'!B69-'Gamma Data'!C69)</f>
        <v/>
      </c>
      <c r="C69" s="3">
        <f>IF(A69="","",N(C68)+B69)</f>
        <v/>
      </c>
    </row>
    <row r="70">
      <c r="A70" s="3">
        <f>IF('Gamma Data'!A70="","",'Gamma Data'!A70)</f>
        <v/>
      </c>
      <c r="B70" s="3">
        <f>IF(A70="","",'Gamma Data'!B70-'Gamma Data'!C70)</f>
        <v/>
      </c>
      <c r="C70" s="3">
        <f>IF(A70="","",N(C69)+B70)</f>
        <v/>
      </c>
    </row>
    <row r="71">
      <c r="A71" s="3">
        <f>IF('Gamma Data'!A71="","",'Gamma Data'!A71)</f>
        <v/>
      </c>
      <c r="B71" s="3">
        <f>IF(A71="","",'Gamma Data'!B71-'Gamma Data'!C71)</f>
        <v/>
      </c>
      <c r="C71" s="3">
        <f>IF(A71="","",N(C70)+B71)</f>
        <v/>
      </c>
    </row>
    <row r="72">
      <c r="A72" s="3">
        <f>IF('Gamma Data'!A72="","",'Gamma Data'!A72)</f>
        <v/>
      </c>
      <c r="B72" s="3">
        <f>IF(A72="","",'Gamma Data'!B72-'Gamma Data'!C72)</f>
        <v/>
      </c>
      <c r="C72" s="3">
        <f>IF(A72="","",N(C71)+B72)</f>
        <v/>
      </c>
    </row>
    <row r="73">
      <c r="A73" s="3">
        <f>IF('Gamma Data'!A73="","",'Gamma Data'!A73)</f>
        <v/>
      </c>
      <c r="B73" s="3">
        <f>IF(A73="","",'Gamma Data'!B73-'Gamma Data'!C73)</f>
        <v/>
      </c>
      <c r="C73" s="3">
        <f>IF(A73="","",N(C72)+B73)</f>
        <v/>
      </c>
    </row>
    <row r="74">
      <c r="A74" s="3">
        <f>IF('Gamma Data'!A74="","",'Gamma Data'!A74)</f>
        <v/>
      </c>
      <c r="B74" s="3">
        <f>IF(A74="","",'Gamma Data'!B74-'Gamma Data'!C74)</f>
        <v/>
      </c>
      <c r="C74" s="3">
        <f>IF(A74="","",N(C73)+B74)</f>
        <v/>
      </c>
    </row>
    <row r="75">
      <c r="A75" s="3">
        <f>IF('Gamma Data'!A75="","",'Gamma Data'!A75)</f>
        <v/>
      </c>
      <c r="B75" s="3">
        <f>IF(A75="","",'Gamma Data'!B75-'Gamma Data'!C75)</f>
        <v/>
      </c>
      <c r="C75" s="3">
        <f>IF(A75="","",N(C74)+B75)</f>
        <v/>
      </c>
    </row>
    <row r="76">
      <c r="A76" s="3">
        <f>IF('Gamma Data'!A76="","",'Gamma Data'!A76)</f>
        <v/>
      </c>
      <c r="B76" s="3">
        <f>IF(A76="","",'Gamma Data'!B76-'Gamma Data'!C76)</f>
        <v/>
      </c>
      <c r="C76" s="3">
        <f>IF(A76="","",N(C75)+B76)</f>
        <v/>
      </c>
    </row>
    <row r="77">
      <c r="A77" s="3">
        <f>IF('Gamma Data'!A77="","",'Gamma Data'!A77)</f>
        <v/>
      </c>
      <c r="B77" s="3">
        <f>IF(A77="","",'Gamma Data'!B77-'Gamma Data'!C77)</f>
        <v/>
      </c>
      <c r="C77" s="3">
        <f>IF(A77="","",N(C76)+B77)</f>
        <v/>
      </c>
    </row>
    <row r="78">
      <c r="A78" s="3">
        <f>IF('Gamma Data'!A78="","",'Gamma Data'!A78)</f>
        <v/>
      </c>
      <c r="B78" s="3">
        <f>IF(A78="","",'Gamma Data'!B78-'Gamma Data'!C78)</f>
        <v/>
      </c>
      <c r="C78" s="3">
        <f>IF(A78="","",N(C77)+B78)</f>
        <v/>
      </c>
    </row>
    <row r="79">
      <c r="A79" s="3">
        <f>IF('Gamma Data'!A79="","",'Gamma Data'!A79)</f>
        <v/>
      </c>
      <c r="B79" s="3">
        <f>IF(A79="","",'Gamma Data'!B79-'Gamma Data'!C79)</f>
        <v/>
      </c>
      <c r="C79" s="3">
        <f>IF(A79="","",N(C78)+B79)</f>
        <v/>
      </c>
    </row>
    <row r="80">
      <c r="A80" s="3">
        <f>IF('Gamma Data'!A80="","",'Gamma Data'!A80)</f>
        <v/>
      </c>
      <c r="B80" s="3">
        <f>IF(A80="","",'Gamma Data'!B80-'Gamma Data'!C80)</f>
        <v/>
      </c>
      <c r="C80" s="3">
        <f>IF(A80="","",N(C79)+B80)</f>
        <v/>
      </c>
    </row>
    <row r="81">
      <c r="A81" s="3">
        <f>IF('Gamma Data'!A81="","",'Gamma Data'!A81)</f>
        <v/>
      </c>
      <c r="B81" s="3">
        <f>IF(A81="","",'Gamma Data'!B81-'Gamma Data'!C81)</f>
        <v/>
      </c>
      <c r="C81" s="3">
        <f>IF(A81="","",N(C80)+B81)</f>
        <v/>
      </c>
    </row>
    <row r="82">
      <c r="A82" s="3">
        <f>IF('Gamma Data'!A82="","",'Gamma Data'!A82)</f>
        <v/>
      </c>
      <c r="B82" s="3">
        <f>IF(A82="","",'Gamma Data'!B82-'Gamma Data'!C82)</f>
        <v/>
      </c>
      <c r="C82" s="3">
        <f>IF(A82="","",N(C81)+B82)</f>
        <v/>
      </c>
    </row>
    <row r="83">
      <c r="A83" s="3">
        <f>IF('Gamma Data'!A83="","",'Gamma Data'!A83)</f>
        <v/>
      </c>
      <c r="B83" s="3">
        <f>IF(A83="","",'Gamma Data'!B83-'Gamma Data'!C83)</f>
        <v/>
      </c>
      <c r="C83" s="3">
        <f>IF(A83="","",N(C82)+B83)</f>
        <v/>
      </c>
    </row>
    <row r="84">
      <c r="A84" s="3">
        <f>IF('Gamma Data'!A84="","",'Gamma Data'!A84)</f>
        <v/>
      </c>
      <c r="B84" s="3">
        <f>IF(A84="","",'Gamma Data'!B84-'Gamma Data'!C84)</f>
        <v/>
      </c>
      <c r="C84" s="3">
        <f>IF(A84="","",N(C83)+B84)</f>
        <v/>
      </c>
    </row>
    <row r="85">
      <c r="A85" s="3">
        <f>IF('Gamma Data'!A85="","",'Gamma Data'!A85)</f>
        <v/>
      </c>
      <c r="B85" s="3">
        <f>IF(A85="","",'Gamma Data'!B85-'Gamma Data'!C85)</f>
        <v/>
      </c>
      <c r="C85" s="3">
        <f>IF(A85="","",N(C84)+B85)</f>
        <v/>
      </c>
    </row>
    <row r="86">
      <c r="A86" s="3">
        <f>IF('Gamma Data'!A86="","",'Gamma Data'!A86)</f>
        <v/>
      </c>
      <c r="B86" s="3">
        <f>IF(A86="","",'Gamma Data'!B86-'Gamma Data'!C86)</f>
        <v/>
      </c>
      <c r="C86" s="3">
        <f>IF(A86="","",N(C85)+B86)</f>
        <v/>
      </c>
    </row>
    <row r="87">
      <c r="A87" s="3">
        <f>IF('Gamma Data'!A87="","",'Gamma Data'!A87)</f>
        <v/>
      </c>
      <c r="B87" s="3">
        <f>IF(A87="","",'Gamma Data'!B87-'Gamma Data'!C87)</f>
        <v/>
      </c>
      <c r="C87" s="3">
        <f>IF(A87="","",N(C86)+B87)</f>
        <v/>
      </c>
    </row>
    <row r="88">
      <c r="A88" s="3">
        <f>IF('Gamma Data'!A88="","",'Gamma Data'!A88)</f>
        <v/>
      </c>
      <c r="B88" s="3">
        <f>IF(A88="","",'Gamma Data'!B88-'Gamma Data'!C88)</f>
        <v/>
      </c>
      <c r="C88" s="3">
        <f>IF(A88="","",N(C87)+B88)</f>
        <v/>
      </c>
    </row>
    <row r="89">
      <c r="A89" s="3">
        <f>IF('Gamma Data'!A89="","",'Gamma Data'!A89)</f>
        <v/>
      </c>
      <c r="B89" s="3">
        <f>IF(A89="","",'Gamma Data'!B89-'Gamma Data'!C89)</f>
        <v/>
      </c>
      <c r="C89" s="3">
        <f>IF(A89="","",N(C88)+B89)</f>
        <v/>
      </c>
    </row>
    <row r="90">
      <c r="A90" s="3">
        <f>IF('Gamma Data'!A90="","",'Gamma Data'!A90)</f>
        <v/>
      </c>
      <c r="B90" s="3">
        <f>IF(A90="","",'Gamma Data'!B90-'Gamma Data'!C90)</f>
        <v/>
      </c>
      <c r="C90" s="3">
        <f>IF(A90="","",N(C89)+B90)</f>
        <v/>
      </c>
    </row>
    <row r="91">
      <c r="A91" s="3">
        <f>IF('Gamma Data'!A91="","",'Gamma Data'!A91)</f>
        <v/>
      </c>
      <c r="B91" s="3">
        <f>IF(A91="","",'Gamma Data'!B91-'Gamma Data'!C91)</f>
        <v/>
      </c>
      <c r="C91" s="3">
        <f>IF(A91="","",N(C90)+B91)</f>
        <v/>
      </c>
    </row>
    <row r="92">
      <c r="A92" s="3">
        <f>IF('Gamma Data'!A92="","",'Gamma Data'!A92)</f>
        <v/>
      </c>
      <c r="B92" s="3">
        <f>IF(A92="","",'Gamma Data'!B92-'Gamma Data'!C92)</f>
        <v/>
      </c>
      <c r="C92" s="3">
        <f>IF(A92="","",N(C91)+B92)</f>
        <v/>
      </c>
    </row>
    <row r="93">
      <c r="A93" s="3">
        <f>IF('Gamma Data'!A93="","",'Gamma Data'!A93)</f>
        <v/>
      </c>
      <c r="B93" s="3">
        <f>IF(A93="","",'Gamma Data'!B93-'Gamma Data'!C93)</f>
        <v/>
      </c>
      <c r="C93" s="3">
        <f>IF(A93="","",N(C92)+B93)</f>
        <v/>
      </c>
    </row>
    <row r="94">
      <c r="A94" s="3">
        <f>IF('Gamma Data'!A94="","",'Gamma Data'!A94)</f>
        <v/>
      </c>
      <c r="B94" s="3">
        <f>IF(A94="","",'Gamma Data'!B94-'Gamma Data'!C94)</f>
        <v/>
      </c>
      <c r="C94" s="3">
        <f>IF(A94="","",N(C93)+B94)</f>
        <v/>
      </c>
    </row>
    <row r="95">
      <c r="A95" s="3">
        <f>IF('Gamma Data'!A95="","",'Gamma Data'!A95)</f>
        <v/>
      </c>
      <c r="B95" s="3">
        <f>IF(A95="","",'Gamma Data'!B95-'Gamma Data'!C95)</f>
        <v/>
      </c>
      <c r="C95" s="3">
        <f>IF(A95="","",N(C94)+B95)</f>
        <v/>
      </c>
    </row>
    <row r="96">
      <c r="A96" s="3">
        <f>IF('Gamma Data'!A96="","",'Gamma Data'!A96)</f>
        <v/>
      </c>
      <c r="B96" s="3">
        <f>IF(A96="","",'Gamma Data'!B96-'Gamma Data'!C96)</f>
        <v/>
      </c>
      <c r="C96" s="3">
        <f>IF(A96="","",N(C95)+B96)</f>
        <v/>
      </c>
    </row>
    <row r="97">
      <c r="A97" s="3">
        <f>IF('Gamma Data'!A97="","",'Gamma Data'!A97)</f>
        <v/>
      </c>
      <c r="B97" s="3">
        <f>IF(A97="","",'Gamma Data'!B97-'Gamma Data'!C97)</f>
        <v/>
      </c>
      <c r="C97" s="3">
        <f>IF(A97="","",N(C96)+B97)</f>
        <v/>
      </c>
    </row>
    <row r="98">
      <c r="A98" s="3">
        <f>IF('Gamma Data'!A98="","",'Gamma Data'!A98)</f>
        <v/>
      </c>
      <c r="B98" s="3">
        <f>IF(A98="","",'Gamma Data'!B98-'Gamma Data'!C98)</f>
        <v/>
      </c>
      <c r="C98" s="3">
        <f>IF(A98="","",N(C97)+B98)</f>
        <v/>
      </c>
    </row>
    <row r="99">
      <c r="A99" s="3">
        <f>IF('Gamma Data'!A99="","",'Gamma Data'!A99)</f>
        <v/>
      </c>
      <c r="B99" s="3">
        <f>IF(A99="","",'Gamma Data'!B99-'Gamma Data'!C99)</f>
        <v/>
      </c>
      <c r="C99" s="3">
        <f>IF(A99="","",N(C98)+B99)</f>
        <v/>
      </c>
    </row>
    <row r="100">
      <c r="A100" s="3">
        <f>IF('Gamma Data'!A100="","",'Gamma Data'!A100)</f>
        <v/>
      </c>
      <c r="B100" s="3">
        <f>IF(A100="","",'Gamma Data'!B100-'Gamma Data'!C100)</f>
        <v/>
      </c>
      <c r="C100" s="3">
        <f>IF(A100="","",N(C99)+B100)</f>
        <v/>
      </c>
    </row>
    <row r="101">
      <c r="A101" s="3">
        <f>IF('Gamma Data'!A101="","",'Gamma Data'!A101)</f>
        <v/>
      </c>
      <c r="B101" s="3">
        <f>IF(A101="","",'Gamma Data'!B101-'Gamma Data'!C101)</f>
        <v/>
      </c>
      <c r="C101" s="3">
        <f>IF(A101="","",N(C100)+B101)</f>
        <v/>
      </c>
    </row>
    <row r="102">
      <c r="A102" s="3">
        <f>IF('Gamma Data'!A102="","",'Gamma Data'!A102)</f>
        <v/>
      </c>
      <c r="B102" s="3">
        <f>IF(A102="","",'Gamma Data'!B102-'Gamma Data'!C102)</f>
        <v/>
      </c>
      <c r="C102" s="3">
        <f>IF(A102="","",N(C101)+B102)</f>
        <v/>
      </c>
    </row>
    <row r="103">
      <c r="A103" s="3">
        <f>IF('Gamma Data'!A103="","",'Gamma Data'!A103)</f>
        <v/>
      </c>
      <c r="B103" s="3">
        <f>IF(A103="","",'Gamma Data'!B103-'Gamma Data'!C103)</f>
        <v/>
      </c>
      <c r="C103" s="3">
        <f>IF(A103="","",N(C102)+B103)</f>
        <v/>
      </c>
    </row>
    <row r="104">
      <c r="A104" s="3">
        <f>IF('Gamma Data'!A104="","",'Gamma Data'!A104)</f>
        <v/>
      </c>
      <c r="B104" s="3">
        <f>IF(A104="","",'Gamma Data'!B104-'Gamma Data'!C104)</f>
        <v/>
      </c>
      <c r="C104" s="3">
        <f>IF(A104="","",N(C103)+B104)</f>
        <v/>
      </c>
    </row>
    <row r="105">
      <c r="A105" s="3">
        <f>IF('Gamma Data'!A105="","",'Gamma Data'!A105)</f>
        <v/>
      </c>
      <c r="B105" s="3">
        <f>IF(A105="","",'Gamma Data'!B105-'Gamma Data'!C105)</f>
        <v/>
      </c>
      <c r="C105" s="3">
        <f>IF(A105="","",N(C104)+B105)</f>
        <v/>
      </c>
    </row>
    <row r="106">
      <c r="A106" s="3">
        <f>IF('Gamma Data'!A106="","",'Gamma Data'!A106)</f>
        <v/>
      </c>
      <c r="B106" s="3">
        <f>IF(A106="","",'Gamma Data'!B106-'Gamma Data'!C106)</f>
        <v/>
      </c>
      <c r="C106" s="3">
        <f>IF(A106="","",N(C105)+B106)</f>
        <v/>
      </c>
    </row>
    <row r="107">
      <c r="A107" s="3">
        <f>IF('Gamma Data'!A107="","",'Gamma Data'!A107)</f>
        <v/>
      </c>
      <c r="B107" s="3">
        <f>IF(A107="","",'Gamma Data'!B107-'Gamma Data'!C107)</f>
        <v/>
      </c>
      <c r="C107" s="3">
        <f>IF(A107="","",N(C106)+B107)</f>
        <v/>
      </c>
    </row>
    <row r="108">
      <c r="A108" s="3">
        <f>IF('Gamma Data'!A108="","",'Gamma Data'!A108)</f>
        <v/>
      </c>
      <c r="B108" s="3">
        <f>IF(A108="","",'Gamma Data'!B108-'Gamma Data'!C108)</f>
        <v/>
      </c>
      <c r="C108" s="3">
        <f>IF(A108="","",N(C107)+B108)</f>
        <v/>
      </c>
    </row>
    <row r="109">
      <c r="A109" s="3">
        <f>IF('Gamma Data'!A109="","",'Gamma Data'!A109)</f>
        <v/>
      </c>
      <c r="B109" s="3">
        <f>IF(A109="","",'Gamma Data'!B109-'Gamma Data'!C109)</f>
        <v/>
      </c>
      <c r="C109" s="3">
        <f>IF(A109="","",N(C108)+B109)</f>
        <v/>
      </c>
    </row>
    <row r="110">
      <c r="A110" s="3">
        <f>IF('Gamma Data'!A110="","",'Gamma Data'!A110)</f>
        <v/>
      </c>
      <c r="B110" s="3">
        <f>IF(A110="","",'Gamma Data'!B110-'Gamma Data'!C110)</f>
        <v/>
      </c>
      <c r="C110" s="3">
        <f>IF(A110="","",N(C109)+B110)</f>
        <v/>
      </c>
    </row>
    <row r="111">
      <c r="A111" s="3">
        <f>IF('Gamma Data'!A111="","",'Gamma Data'!A111)</f>
        <v/>
      </c>
      <c r="B111" s="3">
        <f>IF(A111="","",'Gamma Data'!B111-'Gamma Data'!C111)</f>
        <v/>
      </c>
      <c r="C111" s="3">
        <f>IF(A111="","",N(C110)+B111)</f>
        <v/>
      </c>
    </row>
    <row r="112">
      <c r="A112" s="3">
        <f>IF('Gamma Data'!A112="","",'Gamma Data'!A112)</f>
        <v/>
      </c>
      <c r="B112" s="3">
        <f>IF(A112="","",'Gamma Data'!B112-'Gamma Data'!C112)</f>
        <v/>
      </c>
      <c r="C112" s="3">
        <f>IF(A112="","",N(C111)+B112)</f>
        <v/>
      </c>
    </row>
    <row r="113">
      <c r="A113" s="3">
        <f>IF('Gamma Data'!A113="","",'Gamma Data'!A113)</f>
        <v/>
      </c>
      <c r="B113" s="3">
        <f>IF(A113="","",'Gamma Data'!B113-'Gamma Data'!C113)</f>
        <v/>
      </c>
      <c r="C113" s="3">
        <f>IF(A113="","",N(C112)+B113)</f>
        <v/>
      </c>
    </row>
    <row r="114">
      <c r="A114" s="3">
        <f>IF('Gamma Data'!A114="","",'Gamma Data'!A114)</f>
        <v/>
      </c>
      <c r="B114" s="3">
        <f>IF(A114="","",'Gamma Data'!B114-'Gamma Data'!C114)</f>
        <v/>
      </c>
      <c r="C114" s="3">
        <f>IF(A114="","",N(C113)+B114)</f>
        <v/>
      </c>
    </row>
    <row r="115">
      <c r="A115" s="3">
        <f>IF('Gamma Data'!A115="","",'Gamma Data'!A115)</f>
        <v/>
      </c>
      <c r="B115" s="3">
        <f>IF(A115="","",'Gamma Data'!B115-'Gamma Data'!C115)</f>
        <v/>
      </c>
      <c r="C115" s="3">
        <f>IF(A115="","",N(C114)+B115)</f>
        <v/>
      </c>
    </row>
    <row r="116">
      <c r="A116" s="3">
        <f>IF('Gamma Data'!A116="","",'Gamma Data'!A116)</f>
        <v/>
      </c>
      <c r="B116" s="3">
        <f>IF(A116="","",'Gamma Data'!B116-'Gamma Data'!C116)</f>
        <v/>
      </c>
      <c r="C116" s="3">
        <f>IF(A116="","",N(C115)+B116)</f>
        <v/>
      </c>
    </row>
    <row r="117">
      <c r="A117" s="3">
        <f>IF('Gamma Data'!A117="","",'Gamma Data'!A117)</f>
        <v/>
      </c>
      <c r="B117" s="3">
        <f>IF(A117="","",'Gamma Data'!B117-'Gamma Data'!C117)</f>
        <v/>
      </c>
      <c r="C117" s="3">
        <f>IF(A117="","",N(C116)+B117)</f>
        <v/>
      </c>
    </row>
    <row r="118">
      <c r="A118" s="3">
        <f>IF('Gamma Data'!A118="","",'Gamma Data'!A118)</f>
        <v/>
      </c>
      <c r="B118" s="3">
        <f>IF(A118="","",'Gamma Data'!B118-'Gamma Data'!C118)</f>
        <v/>
      </c>
      <c r="C118" s="3">
        <f>IF(A118="","",N(C117)+B118)</f>
        <v/>
      </c>
    </row>
    <row r="119">
      <c r="A119" s="3">
        <f>IF('Gamma Data'!A119="","",'Gamma Data'!A119)</f>
        <v/>
      </c>
      <c r="B119" s="3">
        <f>IF(A119="","",'Gamma Data'!B119-'Gamma Data'!C119)</f>
        <v/>
      </c>
      <c r="C119" s="3">
        <f>IF(A119="","",N(C118)+B119)</f>
        <v/>
      </c>
    </row>
    <row r="120">
      <c r="A120" s="3">
        <f>IF('Gamma Data'!A120="","",'Gamma Data'!A120)</f>
        <v/>
      </c>
      <c r="B120" s="3">
        <f>IF(A120="","",'Gamma Data'!B120-'Gamma Data'!C120)</f>
        <v/>
      </c>
      <c r="C120" s="3">
        <f>IF(A120="","",N(C119)+B120)</f>
        <v/>
      </c>
    </row>
    <row r="121">
      <c r="A121" s="3">
        <f>IF('Gamma Data'!A121="","",'Gamma Data'!A121)</f>
        <v/>
      </c>
      <c r="B121" s="3">
        <f>IF(A121="","",'Gamma Data'!B121-'Gamma Data'!C121)</f>
        <v/>
      </c>
      <c r="C121" s="3">
        <f>IF(A121="","",N(C120)+B121)</f>
        <v/>
      </c>
    </row>
    <row r="122">
      <c r="A122" s="3">
        <f>IF('Gamma Data'!A122="","",'Gamma Data'!A122)</f>
        <v/>
      </c>
      <c r="B122" s="3">
        <f>IF(A122="","",'Gamma Data'!B122-'Gamma Data'!C122)</f>
        <v/>
      </c>
      <c r="C122" s="3">
        <f>IF(A122="","",N(C121)+B122)</f>
        <v/>
      </c>
    </row>
    <row r="123">
      <c r="A123" s="3">
        <f>IF('Gamma Data'!A123="","",'Gamma Data'!A123)</f>
        <v/>
      </c>
      <c r="B123" s="3">
        <f>IF(A123="","",'Gamma Data'!B123-'Gamma Data'!C123)</f>
        <v/>
      </c>
      <c r="C123" s="3">
        <f>IF(A123="","",N(C122)+B123)</f>
        <v/>
      </c>
    </row>
    <row r="124">
      <c r="A124" s="3">
        <f>IF('Gamma Data'!A124="","",'Gamma Data'!A124)</f>
        <v/>
      </c>
      <c r="B124" s="3">
        <f>IF(A124="","",'Gamma Data'!B124-'Gamma Data'!C124)</f>
        <v/>
      </c>
      <c r="C124" s="3">
        <f>IF(A124="","",N(C123)+B124)</f>
        <v/>
      </c>
    </row>
    <row r="125">
      <c r="A125" s="3">
        <f>IF('Gamma Data'!A125="","",'Gamma Data'!A125)</f>
        <v/>
      </c>
      <c r="B125" s="3">
        <f>IF(A125="","",'Gamma Data'!B125-'Gamma Data'!C125)</f>
        <v/>
      </c>
      <c r="C125" s="3">
        <f>IF(A125="","",N(C124)+B125)</f>
        <v/>
      </c>
    </row>
    <row r="126">
      <c r="A126" s="3">
        <f>IF('Gamma Data'!A126="","",'Gamma Data'!A126)</f>
        <v/>
      </c>
      <c r="B126" s="3">
        <f>IF(A126="","",'Gamma Data'!B126-'Gamma Data'!C126)</f>
        <v/>
      </c>
      <c r="C126" s="3">
        <f>IF(A126="","",N(C125)+B126)</f>
        <v/>
      </c>
    </row>
    <row r="127">
      <c r="A127" s="3">
        <f>IF('Gamma Data'!A127="","",'Gamma Data'!A127)</f>
        <v/>
      </c>
      <c r="B127" s="3">
        <f>IF(A127="","",'Gamma Data'!B127-'Gamma Data'!C127)</f>
        <v/>
      </c>
      <c r="C127" s="3">
        <f>IF(A127="","",N(C126)+B127)</f>
        <v/>
      </c>
    </row>
    <row r="128">
      <c r="A128" s="3">
        <f>IF('Gamma Data'!A128="","",'Gamma Data'!A128)</f>
        <v/>
      </c>
      <c r="B128" s="3">
        <f>IF(A128="","",'Gamma Data'!B128-'Gamma Data'!C128)</f>
        <v/>
      </c>
      <c r="C128" s="3">
        <f>IF(A128="","",N(C127)+B128)</f>
        <v/>
      </c>
    </row>
    <row r="129">
      <c r="A129" s="3">
        <f>IF('Gamma Data'!A129="","",'Gamma Data'!A129)</f>
        <v/>
      </c>
      <c r="B129" s="3">
        <f>IF(A129="","",'Gamma Data'!B129-'Gamma Data'!C129)</f>
        <v/>
      </c>
      <c r="C129" s="3">
        <f>IF(A129="","",N(C128)+B129)</f>
        <v/>
      </c>
    </row>
    <row r="130">
      <c r="A130" s="3">
        <f>IF('Gamma Data'!A130="","",'Gamma Data'!A130)</f>
        <v/>
      </c>
      <c r="B130" s="3">
        <f>IF(A130="","",'Gamma Data'!B130-'Gamma Data'!C130)</f>
        <v/>
      </c>
      <c r="C130" s="3">
        <f>IF(A130="","",N(C129)+B130)</f>
        <v/>
      </c>
    </row>
    <row r="131">
      <c r="A131" s="3">
        <f>IF('Gamma Data'!A131="","",'Gamma Data'!A131)</f>
        <v/>
      </c>
      <c r="B131" s="3">
        <f>IF(A131="","",'Gamma Data'!B131-'Gamma Data'!C131)</f>
        <v/>
      </c>
      <c r="C131" s="3">
        <f>IF(A131="","",N(C130)+B131)</f>
        <v/>
      </c>
    </row>
    <row r="132">
      <c r="A132" s="3">
        <f>IF('Gamma Data'!A132="","",'Gamma Data'!A132)</f>
        <v/>
      </c>
      <c r="B132" s="3">
        <f>IF(A132="","",'Gamma Data'!B132-'Gamma Data'!C132)</f>
        <v/>
      </c>
      <c r="C132" s="3">
        <f>IF(A132="","",N(C131)+B132)</f>
        <v/>
      </c>
    </row>
    <row r="133">
      <c r="A133" s="3">
        <f>IF('Gamma Data'!A133="","",'Gamma Data'!A133)</f>
        <v/>
      </c>
      <c r="B133" s="3">
        <f>IF(A133="","",'Gamma Data'!B133-'Gamma Data'!C133)</f>
        <v/>
      </c>
      <c r="C133" s="3">
        <f>IF(A133="","",N(C132)+B133)</f>
        <v/>
      </c>
    </row>
    <row r="134">
      <c r="A134" s="3">
        <f>IF('Gamma Data'!A134="","",'Gamma Data'!A134)</f>
        <v/>
      </c>
      <c r="B134" s="3">
        <f>IF(A134="","",'Gamma Data'!B134-'Gamma Data'!C134)</f>
        <v/>
      </c>
      <c r="C134" s="3">
        <f>IF(A134="","",N(C133)+B134)</f>
        <v/>
      </c>
    </row>
    <row r="135">
      <c r="A135" s="3">
        <f>IF('Gamma Data'!A135="","",'Gamma Data'!A135)</f>
        <v/>
      </c>
      <c r="B135" s="3">
        <f>IF(A135="","",'Gamma Data'!B135-'Gamma Data'!C135)</f>
        <v/>
      </c>
      <c r="C135" s="3">
        <f>IF(A135="","",N(C134)+B135)</f>
        <v/>
      </c>
    </row>
    <row r="136">
      <c r="A136" s="3">
        <f>IF('Gamma Data'!A136="","",'Gamma Data'!A136)</f>
        <v/>
      </c>
      <c r="B136" s="3">
        <f>IF(A136="","",'Gamma Data'!B136-'Gamma Data'!C136)</f>
        <v/>
      </c>
      <c r="C136" s="3">
        <f>IF(A136="","",N(C135)+B136)</f>
        <v/>
      </c>
    </row>
    <row r="137">
      <c r="A137" s="3">
        <f>IF('Gamma Data'!A137="","",'Gamma Data'!A137)</f>
        <v/>
      </c>
      <c r="B137" s="3">
        <f>IF(A137="","",'Gamma Data'!B137-'Gamma Data'!C137)</f>
        <v/>
      </c>
      <c r="C137" s="3">
        <f>IF(A137="","",N(C136)+B137)</f>
        <v/>
      </c>
    </row>
    <row r="138">
      <c r="A138" s="3">
        <f>IF('Gamma Data'!A138="","",'Gamma Data'!A138)</f>
        <v/>
      </c>
      <c r="B138" s="3">
        <f>IF(A138="","",'Gamma Data'!B138-'Gamma Data'!C138)</f>
        <v/>
      </c>
      <c r="C138" s="3">
        <f>IF(A138="","",N(C137)+B138)</f>
        <v/>
      </c>
    </row>
    <row r="139">
      <c r="A139" s="3">
        <f>IF('Gamma Data'!A139="","",'Gamma Data'!A139)</f>
        <v/>
      </c>
      <c r="B139" s="3">
        <f>IF(A139="","",'Gamma Data'!B139-'Gamma Data'!C139)</f>
        <v/>
      </c>
      <c r="C139" s="3">
        <f>IF(A139="","",N(C138)+B139)</f>
        <v/>
      </c>
    </row>
    <row r="140">
      <c r="A140" s="3">
        <f>IF('Gamma Data'!A140="","",'Gamma Data'!A140)</f>
        <v/>
      </c>
      <c r="B140" s="3">
        <f>IF(A140="","",'Gamma Data'!B140-'Gamma Data'!C140)</f>
        <v/>
      </c>
      <c r="C140" s="3">
        <f>IF(A140="","",N(C139)+B140)</f>
        <v/>
      </c>
    </row>
    <row r="141">
      <c r="A141" s="3">
        <f>IF('Gamma Data'!A141="","",'Gamma Data'!A141)</f>
        <v/>
      </c>
      <c r="B141" s="3">
        <f>IF(A141="","",'Gamma Data'!B141-'Gamma Data'!C141)</f>
        <v/>
      </c>
      <c r="C141" s="3">
        <f>IF(A141="","",N(C140)+B141)</f>
        <v/>
      </c>
    </row>
    <row r="142">
      <c r="A142" s="3">
        <f>IF('Gamma Data'!A142="","",'Gamma Data'!A142)</f>
        <v/>
      </c>
      <c r="B142" s="3">
        <f>IF(A142="","",'Gamma Data'!B142-'Gamma Data'!C142)</f>
        <v/>
      </c>
      <c r="C142" s="3">
        <f>IF(A142="","",N(C141)+B142)</f>
        <v/>
      </c>
    </row>
    <row r="143">
      <c r="A143" s="3">
        <f>IF('Gamma Data'!A143="","",'Gamma Data'!A143)</f>
        <v/>
      </c>
      <c r="B143" s="3">
        <f>IF(A143="","",'Gamma Data'!B143-'Gamma Data'!C143)</f>
        <v/>
      </c>
      <c r="C143" s="3">
        <f>IF(A143="","",N(C142)+B143)</f>
        <v/>
      </c>
    </row>
    <row r="144">
      <c r="A144" s="3">
        <f>IF('Gamma Data'!A144="","",'Gamma Data'!A144)</f>
        <v/>
      </c>
      <c r="B144" s="3">
        <f>IF(A144="","",'Gamma Data'!B144-'Gamma Data'!C144)</f>
        <v/>
      </c>
      <c r="C144" s="3">
        <f>IF(A144="","",N(C143)+B144)</f>
        <v/>
      </c>
    </row>
    <row r="145">
      <c r="A145" s="3">
        <f>IF('Gamma Data'!A145="","",'Gamma Data'!A145)</f>
        <v/>
      </c>
      <c r="B145" s="3">
        <f>IF(A145="","",'Gamma Data'!B145-'Gamma Data'!C145)</f>
        <v/>
      </c>
      <c r="C145" s="3">
        <f>IF(A145="","",N(C144)+B145)</f>
        <v/>
      </c>
    </row>
    <row r="146">
      <c r="A146" s="3">
        <f>IF('Gamma Data'!A146="","",'Gamma Data'!A146)</f>
        <v/>
      </c>
      <c r="B146" s="3">
        <f>IF(A146="","",'Gamma Data'!B146-'Gamma Data'!C146)</f>
        <v/>
      </c>
      <c r="C146" s="3">
        <f>IF(A146="","",N(C145)+B146)</f>
        <v/>
      </c>
    </row>
    <row r="147">
      <c r="A147" s="3">
        <f>IF('Gamma Data'!A147="","",'Gamma Data'!A147)</f>
        <v/>
      </c>
      <c r="B147" s="3">
        <f>IF(A147="","",'Gamma Data'!B147-'Gamma Data'!C147)</f>
        <v/>
      </c>
      <c r="C147" s="3">
        <f>IF(A147="","",N(C146)+B147)</f>
        <v/>
      </c>
    </row>
    <row r="148">
      <c r="A148" s="3">
        <f>IF('Gamma Data'!A148="","",'Gamma Data'!A148)</f>
        <v/>
      </c>
      <c r="B148" s="3">
        <f>IF(A148="","",'Gamma Data'!B148-'Gamma Data'!C148)</f>
        <v/>
      </c>
      <c r="C148" s="3">
        <f>IF(A148="","",N(C147)+B148)</f>
        <v/>
      </c>
    </row>
    <row r="149">
      <c r="A149" s="3">
        <f>IF('Gamma Data'!A149="","",'Gamma Data'!A149)</f>
        <v/>
      </c>
      <c r="B149" s="3">
        <f>IF(A149="","",'Gamma Data'!B149-'Gamma Data'!C149)</f>
        <v/>
      </c>
      <c r="C149" s="3">
        <f>IF(A149="","",N(C148)+B149)</f>
        <v/>
      </c>
    </row>
    <row r="150">
      <c r="A150" s="3">
        <f>IF('Gamma Data'!A150="","",'Gamma Data'!A150)</f>
        <v/>
      </c>
      <c r="B150" s="3">
        <f>IF(A150="","",'Gamma Data'!B150-'Gamma Data'!C150)</f>
        <v/>
      </c>
      <c r="C150" s="3">
        <f>IF(A150="","",N(C149)+B150)</f>
        <v/>
      </c>
    </row>
    <row r="151">
      <c r="A151" s="3">
        <f>IF('Gamma Data'!A151="","",'Gamma Data'!A151)</f>
        <v/>
      </c>
      <c r="B151" s="3">
        <f>IF(A151="","",'Gamma Data'!B151-'Gamma Data'!C151)</f>
        <v/>
      </c>
      <c r="C151" s="3">
        <f>IF(A151="","",N(C150)+B151)</f>
        <v/>
      </c>
    </row>
    <row r="152">
      <c r="A152" s="3">
        <f>IF('Gamma Data'!A152="","",'Gamma Data'!A152)</f>
        <v/>
      </c>
      <c r="B152" s="3">
        <f>IF(A152="","",'Gamma Data'!B152-'Gamma Data'!C152)</f>
        <v/>
      </c>
      <c r="C152" s="3">
        <f>IF(A152="","",N(C151)+B152)</f>
        <v/>
      </c>
    </row>
    <row r="153">
      <c r="A153" s="3">
        <f>IF('Gamma Data'!A153="","",'Gamma Data'!A153)</f>
        <v/>
      </c>
      <c r="B153" s="3">
        <f>IF(A153="","",'Gamma Data'!B153-'Gamma Data'!C153)</f>
        <v/>
      </c>
      <c r="C153" s="3">
        <f>IF(A153="","",N(C152)+B153)</f>
        <v/>
      </c>
    </row>
    <row r="154">
      <c r="A154" s="3">
        <f>IF('Gamma Data'!A154="","",'Gamma Data'!A154)</f>
        <v/>
      </c>
      <c r="B154" s="3">
        <f>IF(A154="","",'Gamma Data'!B154-'Gamma Data'!C154)</f>
        <v/>
      </c>
      <c r="C154" s="3">
        <f>IF(A154="","",N(C153)+B154)</f>
        <v/>
      </c>
    </row>
    <row r="155">
      <c r="A155" s="3">
        <f>IF('Gamma Data'!A155="","",'Gamma Data'!A155)</f>
        <v/>
      </c>
      <c r="B155" s="3">
        <f>IF(A155="","",'Gamma Data'!B155-'Gamma Data'!C155)</f>
        <v/>
      </c>
      <c r="C155" s="3">
        <f>IF(A155="","",N(C154)+B155)</f>
        <v/>
      </c>
    </row>
    <row r="156">
      <c r="A156" s="3">
        <f>IF('Gamma Data'!A156="","",'Gamma Data'!A156)</f>
        <v/>
      </c>
      <c r="B156" s="3">
        <f>IF(A156="","",'Gamma Data'!B156-'Gamma Data'!C156)</f>
        <v/>
      </c>
      <c r="C156" s="3">
        <f>IF(A156="","",N(C155)+B156)</f>
        <v/>
      </c>
    </row>
    <row r="157">
      <c r="A157" s="3">
        <f>IF('Gamma Data'!A157="","",'Gamma Data'!A157)</f>
        <v/>
      </c>
      <c r="B157" s="3">
        <f>IF(A157="","",'Gamma Data'!B157-'Gamma Data'!C157)</f>
        <v/>
      </c>
      <c r="C157" s="3">
        <f>IF(A157="","",N(C156)+B157)</f>
        <v/>
      </c>
    </row>
    <row r="158">
      <c r="A158" s="3">
        <f>IF('Gamma Data'!A158="","",'Gamma Data'!A158)</f>
        <v/>
      </c>
      <c r="B158" s="3">
        <f>IF(A158="","",'Gamma Data'!B158-'Gamma Data'!C158)</f>
        <v/>
      </c>
      <c r="C158" s="3">
        <f>IF(A158="","",N(C157)+B158)</f>
        <v/>
      </c>
    </row>
    <row r="159">
      <c r="A159" s="3">
        <f>IF('Gamma Data'!A159="","",'Gamma Data'!A159)</f>
        <v/>
      </c>
      <c r="B159" s="3">
        <f>IF(A159="","",'Gamma Data'!B159-'Gamma Data'!C159)</f>
        <v/>
      </c>
      <c r="C159" s="3">
        <f>IF(A159="","",N(C158)+B159)</f>
        <v/>
      </c>
    </row>
    <row r="160">
      <c r="A160" s="3">
        <f>IF('Gamma Data'!A160="","",'Gamma Data'!A160)</f>
        <v/>
      </c>
      <c r="B160" s="3">
        <f>IF(A160="","",'Gamma Data'!B160-'Gamma Data'!C160)</f>
        <v/>
      </c>
      <c r="C160" s="3">
        <f>IF(A160="","",N(C159)+B160)</f>
        <v/>
      </c>
    </row>
    <row r="161">
      <c r="A161" s="3">
        <f>IF('Gamma Data'!A161="","",'Gamma Data'!A161)</f>
        <v/>
      </c>
      <c r="B161" s="3">
        <f>IF(A161="","",'Gamma Data'!B161-'Gamma Data'!C161)</f>
        <v/>
      </c>
      <c r="C161" s="3">
        <f>IF(A161="","",N(C160)+B161)</f>
        <v/>
      </c>
    </row>
    <row r="162">
      <c r="A162" s="3">
        <f>IF('Gamma Data'!A162="","",'Gamma Data'!A162)</f>
        <v/>
      </c>
      <c r="B162" s="3">
        <f>IF(A162="","",'Gamma Data'!B162-'Gamma Data'!C162)</f>
        <v/>
      </c>
      <c r="C162" s="3">
        <f>IF(A162="","",N(C161)+B162)</f>
        <v/>
      </c>
    </row>
    <row r="163">
      <c r="A163" s="3">
        <f>IF('Gamma Data'!A163="","",'Gamma Data'!A163)</f>
        <v/>
      </c>
      <c r="B163" s="3">
        <f>IF(A163="","",'Gamma Data'!B163-'Gamma Data'!C163)</f>
        <v/>
      </c>
      <c r="C163" s="3">
        <f>IF(A163="","",N(C162)+B163)</f>
        <v/>
      </c>
    </row>
    <row r="164">
      <c r="A164" s="3">
        <f>IF('Gamma Data'!A164="","",'Gamma Data'!A164)</f>
        <v/>
      </c>
      <c r="B164" s="3">
        <f>IF(A164="","",'Gamma Data'!B164-'Gamma Data'!C164)</f>
        <v/>
      </c>
      <c r="C164" s="3">
        <f>IF(A164="","",N(C163)+B164)</f>
        <v/>
      </c>
    </row>
    <row r="165">
      <c r="A165" s="3">
        <f>IF('Gamma Data'!A165="","",'Gamma Data'!A165)</f>
        <v/>
      </c>
      <c r="B165" s="3">
        <f>IF(A165="","",'Gamma Data'!B165-'Gamma Data'!C165)</f>
        <v/>
      </c>
      <c r="C165" s="3">
        <f>IF(A165="","",N(C164)+B165)</f>
        <v/>
      </c>
    </row>
    <row r="166">
      <c r="A166" s="3">
        <f>IF('Gamma Data'!A166="","",'Gamma Data'!A166)</f>
        <v/>
      </c>
      <c r="B166" s="3">
        <f>IF(A166="","",'Gamma Data'!B166-'Gamma Data'!C166)</f>
        <v/>
      </c>
      <c r="C166" s="3">
        <f>IF(A166="","",N(C165)+B166)</f>
        <v/>
      </c>
    </row>
    <row r="167">
      <c r="A167" s="3">
        <f>IF('Gamma Data'!A167="","",'Gamma Data'!A167)</f>
        <v/>
      </c>
      <c r="B167" s="3">
        <f>IF(A167="","",'Gamma Data'!B167-'Gamma Data'!C167)</f>
        <v/>
      </c>
      <c r="C167" s="3">
        <f>IF(A167="","",N(C166)+B167)</f>
        <v/>
      </c>
    </row>
    <row r="168">
      <c r="A168" s="3">
        <f>IF('Gamma Data'!A168="","",'Gamma Data'!A168)</f>
        <v/>
      </c>
      <c r="B168" s="3">
        <f>IF(A168="","",'Gamma Data'!B168-'Gamma Data'!C168)</f>
        <v/>
      </c>
      <c r="C168" s="3">
        <f>IF(A168="","",N(C167)+B168)</f>
        <v/>
      </c>
    </row>
    <row r="169">
      <c r="A169" s="3">
        <f>IF('Gamma Data'!A169="","",'Gamma Data'!A169)</f>
        <v/>
      </c>
      <c r="B169" s="3">
        <f>IF(A169="","",'Gamma Data'!B169-'Gamma Data'!C169)</f>
        <v/>
      </c>
      <c r="C169" s="3">
        <f>IF(A169="","",N(C168)+B169)</f>
        <v/>
      </c>
    </row>
    <row r="170">
      <c r="A170" s="3">
        <f>IF('Gamma Data'!A170="","",'Gamma Data'!A170)</f>
        <v/>
      </c>
      <c r="B170" s="3">
        <f>IF(A170="","",'Gamma Data'!B170-'Gamma Data'!C170)</f>
        <v/>
      </c>
      <c r="C170" s="3">
        <f>IF(A170="","",N(C169)+B170)</f>
        <v/>
      </c>
    </row>
    <row r="171">
      <c r="A171" s="3">
        <f>IF('Gamma Data'!A171="","",'Gamma Data'!A171)</f>
        <v/>
      </c>
      <c r="B171" s="3">
        <f>IF(A171="","",'Gamma Data'!B171-'Gamma Data'!C171)</f>
        <v/>
      </c>
      <c r="C171" s="3">
        <f>IF(A171="","",N(C170)+B171)</f>
        <v/>
      </c>
    </row>
    <row r="172">
      <c r="A172" s="3">
        <f>IF('Gamma Data'!A172="","",'Gamma Data'!A172)</f>
        <v/>
      </c>
      <c r="B172" s="3">
        <f>IF(A172="","",'Gamma Data'!B172-'Gamma Data'!C172)</f>
        <v/>
      </c>
      <c r="C172" s="3">
        <f>IF(A172="","",N(C171)+B172)</f>
        <v/>
      </c>
    </row>
    <row r="173">
      <c r="A173" s="3">
        <f>IF('Gamma Data'!A173="","",'Gamma Data'!A173)</f>
        <v/>
      </c>
      <c r="B173" s="3">
        <f>IF(A173="","",'Gamma Data'!B173-'Gamma Data'!C173)</f>
        <v/>
      </c>
      <c r="C173" s="3">
        <f>IF(A173="","",N(C172)+B173)</f>
        <v/>
      </c>
    </row>
    <row r="174">
      <c r="A174" s="3">
        <f>IF('Gamma Data'!A174="","",'Gamma Data'!A174)</f>
        <v/>
      </c>
      <c r="B174" s="3">
        <f>IF(A174="","",'Gamma Data'!B174-'Gamma Data'!C174)</f>
        <v/>
      </c>
      <c r="C174" s="3">
        <f>IF(A174="","",N(C173)+B174)</f>
        <v/>
      </c>
    </row>
    <row r="175">
      <c r="A175" s="3">
        <f>IF('Gamma Data'!A175="","",'Gamma Data'!A175)</f>
        <v/>
      </c>
      <c r="B175" s="3">
        <f>IF(A175="","",'Gamma Data'!B175-'Gamma Data'!C175)</f>
        <v/>
      </c>
      <c r="C175" s="3">
        <f>IF(A175="","",N(C174)+B175)</f>
        <v/>
      </c>
    </row>
    <row r="176">
      <c r="A176" s="3">
        <f>IF('Gamma Data'!A176="","",'Gamma Data'!A176)</f>
        <v/>
      </c>
      <c r="B176" s="3">
        <f>IF(A176="","",'Gamma Data'!B176-'Gamma Data'!C176)</f>
        <v/>
      </c>
      <c r="C176" s="3">
        <f>IF(A176="","",N(C175)+B176)</f>
        <v/>
      </c>
    </row>
    <row r="177">
      <c r="A177" s="3">
        <f>IF('Gamma Data'!A177="","",'Gamma Data'!A177)</f>
        <v/>
      </c>
      <c r="B177" s="3">
        <f>IF(A177="","",'Gamma Data'!B177-'Gamma Data'!C177)</f>
        <v/>
      </c>
      <c r="C177" s="3">
        <f>IF(A177="","",N(C176)+B177)</f>
        <v/>
      </c>
    </row>
    <row r="178">
      <c r="A178" s="3">
        <f>IF('Gamma Data'!A178="","",'Gamma Data'!A178)</f>
        <v/>
      </c>
      <c r="B178" s="3">
        <f>IF(A178="","",'Gamma Data'!B178-'Gamma Data'!C178)</f>
        <v/>
      </c>
      <c r="C178" s="3">
        <f>IF(A178="","",N(C177)+B178)</f>
        <v/>
      </c>
    </row>
    <row r="179">
      <c r="A179" s="3">
        <f>IF('Gamma Data'!A179="","",'Gamma Data'!A179)</f>
        <v/>
      </c>
      <c r="B179" s="3">
        <f>IF(A179="","",'Gamma Data'!B179-'Gamma Data'!C179)</f>
        <v/>
      </c>
      <c r="C179" s="3">
        <f>IF(A179="","",N(C178)+B179)</f>
        <v/>
      </c>
    </row>
    <row r="180">
      <c r="A180" s="3">
        <f>IF('Gamma Data'!A180="","",'Gamma Data'!A180)</f>
        <v/>
      </c>
      <c r="B180" s="3">
        <f>IF(A180="","",'Gamma Data'!B180-'Gamma Data'!C180)</f>
        <v/>
      </c>
      <c r="C180" s="3">
        <f>IF(A180="","",N(C179)+B180)</f>
        <v/>
      </c>
    </row>
    <row r="181">
      <c r="A181" s="3">
        <f>IF('Gamma Data'!A181="","",'Gamma Data'!A181)</f>
        <v/>
      </c>
      <c r="B181" s="3">
        <f>IF(A181="","",'Gamma Data'!B181-'Gamma Data'!C181)</f>
        <v/>
      </c>
      <c r="C181" s="3">
        <f>IF(A181="","",N(C180)+B181)</f>
        <v/>
      </c>
    </row>
    <row r="182">
      <c r="A182" s="3">
        <f>IF('Gamma Data'!A182="","",'Gamma Data'!A182)</f>
        <v/>
      </c>
      <c r="B182" s="3">
        <f>IF(A182="","",'Gamma Data'!B182-'Gamma Data'!C182)</f>
        <v/>
      </c>
      <c r="C182" s="3">
        <f>IF(A182="","",N(C181)+B182)</f>
        <v/>
      </c>
    </row>
    <row r="183">
      <c r="A183" s="3">
        <f>IF('Gamma Data'!A183="","",'Gamma Data'!A183)</f>
        <v/>
      </c>
      <c r="B183" s="3">
        <f>IF(A183="","",'Gamma Data'!B183-'Gamma Data'!C183)</f>
        <v/>
      </c>
      <c r="C183" s="3">
        <f>IF(A183="","",N(C182)+B183)</f>
        <v/>
      </c>
    </row>
    <row r="184">
      <c r="A184" s="3">
        <f>IF('Gamma Data'!A184="","",'Gamma Data'!A184)</f>
        <v/>
      </c>
      <c r="B184" s="3">
        <f>IF(A184="","",'Gamma Data'!B184-'Gamma Data'!C184)</f>
        <v/>
      </c>
      <c r="C184" s="3">
        <f>IF(A184="","",N(C183)+B184)</f>
        <v/>
      </c>
    </row>
    <row r="185">
      <c r="A185" s="3">
        <f>IF('Gamma Data'!A185="","",'Gamma Data'!A185)</f>
        <v/>
      </c>
      <c r="B185" s="3">
        <f>IF(A185="","",'Gamma Data'!B185-'Gamma Data'!C185)</f>
        <v/>
      </c>
      <c r="C185" s="3">
        <f>IF(A185="","",N(C184)+B185)</f>
        <v/>
      </c>
    </row>
    <row r="186">
      <c r="A186" s="3">
        <f>IF('Gamma Data'!A186="","",'Gamma Data'!A186)</f>
        <v/>
      </c>
      <c r="B186" s="3">
        <f>IF(A186="","",'Gamma Data'!B186-'Gamma Data'!C186)</f>
        <v/>
      </c>
      <c r="C186" s="3">
        <f>IF(A186="","",N(C185)+B186)</f>
        <v/>
      </c>
    </row>
    <row r="187">
      <c r="A187" s="3">
        <f>IF('Gamma Data'!A187="","",'Gamma Data'!A187)</f>
        <v/>
      </c>
      <c r="B187" s="3">
        <f>IF(A187="","",'Gamma Data'!B187-'Gamma Data'!C187)</f>
        <v/>
      </c>
      <c r="C187" s="3">
        <f>IF(A187="","",N(C186)+B187)</f>
        <v/>
      </c>
    </row>
    <row r="188">
      <c r="A188" s="3">
        <f>IF('Gamma Data'!A188="","",'Gamma Data'!A188)</f>
        <v/>
      </c>
      <c r="B188" s="3">
        <f>IF(A188="","",'Gamma Data'!B188-'Gamma Data'!C188)</f>
        <v/>
      </c>
      <c r="C188" s="3">
        <f>IF(A188="","",N(C187)+B188)</f>
        <v/>
      </c>
    </row>
    <row r="189">
      <c r="A189" s="3">
        <f>IF('Gamma Data'!A189="","",'Gamma Data'!A189)</f>
        <v/>
      </c>
      <c r="B189" s="3">
        <f>IF(A189="","",'Gamma Data'!B189-'Gamma Data'!C189)</f>
        <v/>
      </c>
      <c r="C189" s="3">
        <f>IF(A189="","",N(C188)+B189)</f>
        <v/>
      </c>
    </row>
    <row r="190">
      <c r="A190" s="3">
        <f>IF('Gamma Data'!A190="","",'Gamma Data'!A190)</f>
        <v/>
      </c>
      <c r="B190" s="3">
        <f>IF(A190="","",'Gamma Data'!B190-'Gamma Data'!C190)</f>
        <v/>
      </c>
      <c r="C190" s="3">
        <f>IF(A190="","",N(C189)+B190)</f>
        <v/>
      </c>
    </row>
    <row r="191">
      <c r="A191" s="3">
        <f>IF('Gamma Data'!A191="","",'Gamma Data'!A191)</f>
        <v/>
      </c>
      <c r="B191" s="3">
        <f>IF(A191="","",'Gamma Data'!B191-'Gamma Data'!C191)</f>
        <v/>
      </c>
      <c r="C191" s="3">
        <f>IF(A191="","",N(C190)+B191)</f>
        <v/>
      </c>
    </row>
    <row r="192">
      <c r="A192" s="3">
        <f>IF('Gamma Data'!A192="","",'Gamma Data'!A192)</f>
        <v/>
      </c>
      <c r="B192" s="3">
        <f>IF(A192="","",'Gamma Data'!B192-'Gamma Data'!C192)</f>
        <v/>
      </c>
      <c r="C192" s="3">
        <f>IF(A192="","",N(C191)+B192)</f>
        <v/>
      </c>
    </row>
    <row r="193">
      <c r="A193" s="3">
        <f>IF('Gamma Data'!A193="","",'Gamma Data'!A193)</f>
        <v/>
      </c>
      <c r="B193" s="3">
        <f>IF(A193="","",'Gamma Data'!B193-'Gamma Data'!C193)</f>
        <v/>
      </c>
      <c r="C193" s="3">
        <f>IF(A193="","",N(C192)+B193)</f>
        <v/>
      </c>
    </row>
    <row r="194">
      <c r="A194" s="3">
        <f>IF('Gamma Data'!A194="","",'Gamma Data'!A194)</f>
        <v/>
      </c>
      <c r="B194" s="3">
        <f>IF(A194="","",'Gamma Data'!B194-'Gamma Data'!C194)</f>
        <v/>
      </c>
      <c r="C194" s="3">
        <f>IF(A194="","",N(C193)+B194)</f>
        <v/>
      </c>
    </row>
    <row r="195">
      <c r="A195" s="3">
        <f>IF('Gamma Data'!A195="","",'Gamma Data'!A195)</f>
        <v/>
      </c>
      <c r="B195" s="3">
        <f>IF(A195="","",'Gamma Data'!B195-'Gamma Data'!C195)</f>
        <v/>
      </c>
      <c r="C195" s="3">
        <f>IF(A195="","",N(C194)+B195)</f>
        <v/>
      </c>
    </row>
    <row r="196">
      <c r="A196" s="3">
        <f>IF('Gamma Data'!A196="","",'Gamma Data'!A196)</f>
        <v/>
      </c>
      <c r="B196" s="3">
        <f>IF(A196="","",'Gamma Data'!B196-'Gamma Data'!C196)</f>
        <v/>
      </c>
      <c r="C196" s="3">
        <f>IF(A196="","",N(C195)+B196)</f>
        <v/>
      </c>
    </row>
    <row r="197">
      <c r="A197" s="3">
        <f>IF('Gamma Data'!A197="","",'Gamma Data'!A197)</f>
        <v/>
      </c>
      <c r="B197" s="3">
        <f>IF(A197="","",'Gamma Data'!B197-'Gamma Data'!C197)</f>
        <v/>
      </c>
      <c r="C197" s="3">
        <f>IF(A197="","",N(C196)+B197)</f>
        <v/>
      </c>
    </row>
    <row r="198">
      <c r="A198" s="3">
        <f>IF('Gamma Data'!A198="","",'Gamma Data'!A198)</f>
        <v/>
      </c>
      <c r="B198" s="3">
        <f>IF(A198="","",'Gamma Data'!B198-'Gamma Data'!C198)</f>
        <v/>
      </c>
      <c r="C198" s="3">
        <f>IF(A198="","",N(C197)+B198)</f>
        <v/>
      </c>
    </row>
    <row r="199">
      <c r="A199" s="3">
        <f>IF('Gamma Data'!A199="","",'Gamma Data'!A199)</f>
        <v/>
      </c>
      <c r="B199" s="3">
        <f>IF(A199="","",'Gamma Data'!B199-'Gamma Data'!C199)</f>
        <v/>
      </c>
      <c r="C199" s="3">
        <f>IF(A199="","",N(C198)+B199)</f>
        <v/>
      </c>
    </row>
    <row r="200">
      <c r="A200" s="3">
        <f>IF('Gamma Data'!A200="","",'Gamma Data'!A200)</f>
        <v/>
      </c>
      <c r="B200" s="3">
        <f>IF(A200="","",'Gamma Data'!B200-'Gamma Data'!C200)</f>
        <v/>
      </c>
      <c r="C200" s="3">
        <f>IF(A200="","",N(C199)+B200)</f>
        <v/>
      </c>
    </row>
    <row r="201">
      <c r="A201" s="3">
        <f>IF('Gamma Data'!A201="","",'Gamma Data'!A201)</f>
        <v/>
      </c>
      <c r="B201" s="3">
        <f>IF(A201="","",'Gamma Data'!B201-'Gamma Data'!C201)</f>
        <v/>
      </c>
      <c r="C201" s="3">
        <f>IF(A201="","",N(C200)+B201)</f>
        <v/>
      </c>
    </row>
  </sheetData>
  <mergeCells count="1">
    <mergeCell ref="E9:G12"/>
  </mergeCells>
  <conditionalFormatting sqref="B2:B201">
    <cfRule type="cellIs" priority="2" operator="greaterThan" dxfId="1">
      <formula>0</formula>
    </cfRule>
    <cfRule type="cellIs" priority="3" operator="lessThan" dxfId="0">
      <formula>0</formula>
    </cfRule>
  </conditionalFormatting>
  <conditionalFormatting sqref="C2:C201">
    <cfRule type="cellIs" priority="4" operator="greaterThan" dxfId="1">
      <formula>0</formula>
    </cfRule>
    <cfRule type="cellIs" priority="5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วันที่ข้อมูล</t>
        </is>
      </c>
      <c r="B1" t="inlineStr">
        <is>
          <t>สัญญา</t>
        </is>
      </c>
      <c r="C1" t="inlineStr">
        <is>
          <t>ราคา</t>
        </is>
      </c>
      <c r="D1" t="inlineStr">
        <is>
          <t>รวม Call Gamma</t>
        </is>
      </c>
      <c r="E1" t="inlineStr">
        <is>
          <t>รวม Put Gamma</t>
        </is>
      </c>
      <c r="F1" t="inlineStr">
        <is>
          <t>NET GEX</t>
        </is>
      </c>
      <c r="G1" t="inlineStr">
        <is>
          <t>สถานะ</t>
        </is>
      </c>
      <c r="H1" t="inlineStr">
        <is>
          <t>Gamma Flip (ใกล้ราคา)</t>
        </is>
      </c>
      <c r="I1" t="inlineStr">
        <is>
          <t>Strike gamma สูงสุด</t>
        </is>
      </c>
      <c r="J1" t="inlineStr">
        <is>
          <t>บันทึกเมื่อ</t>
        </is>
      </c>
    </row>
    <row r="2">
      <c r="A2" s="10" t="n">
        <v>46283</v>
      </c>
      <c r="B2" t="inlineStr">
        <is>
          <t>G4TU6</t>
        </is>
      </c>
      <c r="C2" s="14" t="n">
        <v>4390.7</v>
      </c>
      <c r="D2" s="12" t="n">
        <v>105</v>
      </c>
      <c r="E2" s="12" t="n">
        <v>48</v>
      </c>
      <c r="F2" s="12" t="n">
        <v>57</v>
      </c>
      <c r="G2" t="inlineStr">
        <is>
          <t>Positive GEX (นิ่ง)</t>
        </is>
      </c>
      <c r="H2" s="12" t="n">
        <v>4425</v>
      </c>
      <c r="I2" s="12" t="n">
        <v>4425</v>
      </c>
      <c r="J2" s="15" t="n">
        <v>46286.90754090278</v>
      </c>
    </row>
    <row r="3">
      <c r="A3" s="10" t="n">
        <v>46288</v>
      </c>
      <c r="B3" t="inlineStr">
        <is>
          <t>OG4U6</t>
        </is>
      </c>
      <c r="C3" s="14" t="n">
        <v>4318.4</v>
      </c>
      <c r="D3" s="12" t="n">
        <v>376</v>
      </c>
      <c r="E3" s="12" t="n">
        <v>578</v>
      </c>
      <c r="F3" s="12" t="n">
        <v>-202</v>
      </c>
      <c r="G3" t="inlineStr">
        <is>
          <t>Negative GEX (แกว่งแรง)</t>
        </is>
      </c>
      <c r="H3" s="12" t="n"/>
      <c r="I3" s="12" t="n">
        <v>4300</v>
      </c>
      <c r="J3" s="15" t="n">
        <v>46289.81005099537</v>
      </c>
    </row>
    <row r="4">
      <c r="A4" s="10" t="n">
        <v>46290</v>
      </c>
      <c r="B4" t="inlineStr">
        <is>
          <t>G4MU6</t>
        </is>
      </c>
      <c r="C4" s="14" t="n">
        <v>4321.2</v>
      </c>
      <c r="D4" s="12" t="n">
        <v>488</v>
      </c>
      <c r="E4" s="12" t="n">
        <v>486</v>
      </c>
      <c r="F4" s="12" t="n">
        <v>2</v>
      </c>
      <c r="G4" t="inlineStr">
        <is>
          <t>Positive GEX (นิ่ง)</t>
        </is>
      </c>
      <c r="H4" s="12" t="n">
        <v>4475</v>
      </c>
      <c r="I4" s="12" t="n">
        <v>4325</v>
      </c>
      <c r="J4" s="15" t="n">
        <v>46292.67314317612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2026-08-30T11:10:09Z</dcterms:created>
  <dcterms:modified xmlns:dcterms="http://purl.org/dc/terms/" xmlns:xsi="http://www.w3.org/2001/XMLSchema-instance" xsi:type="dcterms:W3CDTF">2026-09-27T09:09:19Z</dcterms:modified>
  <cp:revision>1</cp:revision>
</cp:coreProperties>
</file>