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6384" windowHeight="8192" tabRatio="500" firstSheet="0" activeTab="1" autoFilterDateGrouping="1"/>
  </bookViews>
  <sheets>
    <sheet xmlns:r="http://schemas.openxmlformats.org/officeDocument/2006/relationships" name="OI Data" sheetId="1" state="visible" r:id="rId1"/>
    <sheet xmlns:r="http://schemas.openxmlformats.org/officeDocument/2006/relationships" name="Max Pain Calc" sheetId="2" state="visible" r:id="rId2"/>
    <sheet xmlns:r="http://schemas.openxmlformats.org/officeDocument/2006/relationships" name="Log" sheetId="3" state="visible" r:id="rId3"/>
  </sheets>
  <definedNames/>
  <calcPr calcId="191028" fullCalcOnLoad="1" iterateDelta="0.0001"/>
</workbook>
</file>

<file path=xl/styles.xml><?xml version="1.0" encoding="utf-8"?>
<styleSheet xmlns="http://schemas.openxmlformats.org/spreadsheetml/2006/main">
  <numFmts count="8">
    <numFmt numFmtId="164" formatCode="#,##0.0"/>
    <numFmt numFmtId="165" formatCode="\+#,##0.0;\-#,##0.0"/>
    <numFmt numFmtId="166" formatCode="\+0.0%;\-0.0%"/>
    <numFmt numFmtId="167" formatCode="0.0%"/>
    <numFmt numFmtId="168" formatCode="yyyy-mm-dd"/>
    <numFmt numFmtId="169" formatCode="0.0"/>
    <numFmt numFmtId="170" formatCode="yyyy-mm-dd hh:mm"/>
    <numFmt numFmtId="171" formatCode="yyyy-mm-dd h:mm:ss"/>
  </numFmts>
  <fonts count="14">
    <font>
      <name val="Calibri"/>
      <charset val="1"/>
      <family val="2"/>
      <color theme="1"/>
      <sz val="11"/>
    </font>
    <font>
      <name val="Arial"/>
      <charset val="1"/>
      <color rgb="FF000000"/>
      <sz val="11"/>
    </font>
    <font>
      <name val="Arial"/>
      <charset val="1"/>
      <b val="1"/>
      <color rgb="FFFFFFFF"/>
      <sz val="11"/>
    </font>
    <font>
      <name val="Arial"/>
      <charset val="1"/>
      <b val="1"/>
      <color rgb="FF1F3864"/>
      <sz val="11"/>
    </font>
    <font>
      <name val="Arial"/>
      <charset val="1"/>
      <color rgb="FF0000CC"/>
      <sz val="11"/>
    </font>
    <font>
      <name val="Arial"/>
      <charset val="1"/>
      <b val="1"/>
      <color rgb="FF2E5C8A"/>
      <sz val="11"/>
    </font>
    <font>
      <name val="Arial"/>
      <charset val="1"/>
      <b val="1"/>
      <color rgb="FF0000CC"/>
      <sz val="11"/>
    </font>
    <font>
      <name val="Arial"/>
      <charset val="1"/>
      <i val="1"/>
      <color rgb="FF595959"/>
      <sz val="10"/>
    </font>
    <font>
      <name val="FreeSans"/>
      <family val="2"/>
      <color theme="1"/>
      <sz val="11"/>
    </font>
    <font>
      <name val="Arial"/>
      <charset val="1"/>
      <b val="1"/>
      <color rgb="FF0F6E56"/>
      <sz val="14"/>
    </font>
    <font>
      <name val="Arial"/>
      <charset val="1"/>
      <b val="1"/>
      <color rgb="FFB8860B"/>
      <sz val="14"/>
    </font>
    <font>
      <name val="Arial"/>
      <charset val="1"/>
      <b val="1"/>
      <color rgb="FF000000"/>
      <sz val="11"/>
    </font>
    <font>
      <name val="Arial"/>
      <charset val="1"/>
      <b val="1"/>
      <color rgb="FF1F3864"/>
      <sz val="12"/>
    </font>
    <font>
      <name val="Arial"/>
      <charset val="1"/>
      <b val="1"/>
      <color rgb="FFFFFFFF"/>
      <sz val="12"/>
    </font>
  </fonts>
  <fills count="9">
    <fill>
      <patternFill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EEAF6"/>
        <bgColor rgb="FFE2EFDA"/>
      </patternFill>
    </fill>
    <fill>
      <patternFill patternType="solid">
        <fgColor rgb="FF2E5C8A"/>
        <bgColor rgb="FF0F6E56"/>
      </patternFill>
    </fill>
    <fill>
      <patternFill patternType="solid">
        <fgColor rgb="FFFFF200"/>
        <bgColor rgb="FFFFFF00"/>
      </patternFill>
    </fill>
    <fill>
      <patternFill patternType="solid">
        <fgColor rgb="FFF2F2F2"/>
        <bgColor rgb="FFE2EFDA"/>
      </patternFill>
    </fill>
    <fill>
      <patternFill patternType="solid">
        <fgColor rgb="FFFFF2CC"/>
        <bgColor rgb="FFFCE4E4"/>
      </patternFill>
    </fill>
    <fill>
      <patternFill patternType="solid">
        <fgColor rgb="FFE2EFDA"/>
        <bgColor rgb="FFDEEAF6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rgb="FFB8860B"/>
      </left>
      <right style="medium">
        <color rgb="FFB8860B"/>
      </right>
      <top style="medium">
        <color rgb="FFB8860B"/>
      </top>
      <bottom style="medium">
        <color rgb="FFB8860B"/>
      </bottom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3" fontId="3" fillId="5" borderId="1" applyAlignment="1" pivotButton="0" quotePrefix="0" xfId="0">
      <alignment horizontal="center"/>
    </xf>
    <xf numFmtId="3" fontId="4" fillId="5" borderId="1" applyAlignment="1" pivotButton="0" quotePrefix="0" xfId="0">
      <alignment horizontal="center"/>
    </xf>
    <xf numFmtId="0" fontId="5" fillId="3" borderId="1" applyAlignment="1" pivotButton="0" quotePrefix="0" xfId="0">
      <alignment vertical="center" wrapText="1" indent="1"/>
    </xf>
    <xf numFmtId="0" fontId="7" fillId="6" borderId="1" applyAlignment="1" pivotButton="0" quotePrefix="0" xfId="0">
      <alignment vertical="center" wrapText="1"/>
    </xf>
    <xf numFmtId="0" fontId="2" fillId="2" borderId="1" applyAlignment="1" pivotButton="0" quotePrefix="0" xfId="0">
      <alignment horizontal="center" vertical="center" wrapText="1"/>
    </xf>
    <xf numFmtId="3" fontId="3" fillId="0" borderId="1" applyAlignment="1" pivotButton="0" quotePrefix="0" xfId="0">
      <alignment horizontal="center"/>
    </xf>
    <xf numFmtId="3" fontId="1" fillId="0" borderId="1" applyAlignment="1" pivotButton="0" quotePrefix="0" xfId="0">
      <alignment horizontal="center"/>
    </xf>
    <xf numFmtId="2" fontId="1" fillId="0" borderId="1" applyAlignment="1" pivotButton="0" quotePrefix="0" xfId="0">
      <alignment horizontal="center"/>
    </xf>
    <xf numFmtId="0" fontId="3" fillId="3" borderId="1" applyAlignment="1" pivotButton="0" quotePrefix="0" xfId="0">
      <alignment vertical="center" wrapText="1" indent="1"/>
    </xf>
    <xf numFmtId="3" fontId="9" fillId="8" borderId="1" applyAlignment="1" pivotButton="0" quotePrefix="0" xfId="0">
      <alignment horizontal="center" vertical="center"/>
    </xf>
    <xf numFmtId="3" fontId="1" fillId="0" borderId="1" applyAlignment="1" pivotButton="0" quotePrefix="0" xfId="0">
      <alignment horizontal="center" vertical="center"/>
    </xf>
    <xf numFmtId="164" fontId="6" fillId="5" borderId="2" applyAlignment="1" pivotButton="0" quotePrefix="0" xfId="0">
      <alignment horizontal="center" vertical="center"/>
    </xf>
    <xf numFmtId="165" fontId="1" fillId="0" borderId="1" applyAlignment="1" pivotButton="0" quotePrefix="0" xfId="0">
      <alignment horizontal="center" vertical="center"/>
    </xf>
    <xf numFmtId="166" fontId="10" fillId="7" borderId="1" applyAlignment="1" pivotButton="0" quotePrefix="0" xfId="0">
      <alignment horizontal="center" vertical="center"/>
    </xf>
    <xf numFmtId="167" fontId="6" fillId="5" borderId="2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1" fillId="0" borderId="1" applyAlignment="1" pivotButton="0" quotePrefix="0" xfId="0">
      <alignment horizontal="center" vertical="center"/>
    </xf>
    <xf numFmtId="2" fontId="1" fillId="0" borderId="1" applyAlignment="1" pivotButton="0" quotePrefix="0" xfId="0">
      <alignment horizontal="center" vertical="center"/>
    </xf>
    <xf numFmtId="167" fontId="1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vertical="center" indent="1"/>
    </xf>
    <xf numFmtId="0" fontId="11" fillId="0" borderId="1" applyAlignment="1" pivotButton="0" quotePrefix="0" xfId="0">
      <alignment horizontal="center" vertical="center" wrapText="1"/>
    </xf>
    <xf numFmtId="0" fontId="12" fillId="3" borderId="1" applyAlignment="1" pivotButton="0" quotePrefix="0" xfId="0">
      <alignment vertical="center" wrapText="1" indent="1"/>
    </xf>
    <xf numFmtId="0" fontId="13" fillId="0" borderId="1" applyAlignment="1" pivotButton="0" quotePrefix="0" xfId="0">
      <alignment horizontal="center" vertical="center" wrapText="1"/>
    </xf>
    <xf numFmtId="3" fontId="11" fillId="0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14" fontId="6" fillId="5" borderId="1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0" fillId="0" borderId="0" pivotButton="0" quotePrefix="0" xfId="0"/>
    <xf numFmtId="164" fontId="6" fillId="5" borderId="2" applyAlignment="1" pivotButton="0" quotePrefix="0" xfId="0">
      <alignment horizontal="center" vertical="center"/>
    </xf>
    <xf numFmtId="165" fontId="1" fillId="0" borderId="1" applyAlignment="1" pivotButton="0" quotePrefix="0" xfId="0">
      <alignment horizontal="center" vertical="center"/>
    </xf>
    <xf numFmtId="166" fontId="10" fillId="7" borderId="1" applyAlignment="1" pivotButton="0" quotePrefix="0" xfId="0">
      <alignment horizontal="center" vertical="center"/>
    </xf>
    <xf numFmtId="167" fontId="6" fillId="5" borderId="2" applyAlignment="1" pivotButton="0" quotePrefix="0" xfId="0">
      <alignment horizontal="center" vertical="center"/>
    </xf>
    <xf numFmtId="167" fontId="1" fillId="0" borderId="1" applyAlignment="1" pivotButton="0" quotePrefix="0" xfId="0">
      <alignment horizontal="center" vertical="center"/>
    </xf>
    <xf numFmtId="168" fontId="0" fillId="0" borderId="0" pivotButton="0" quotePrefix="0" xfId="0"/>
    <xf numFmtId="1" fontId="0" fillId="0" borderId="0" pivotButton="0" quotePrefix="0" xfId="0"/>
    <xf numFmtId="169" fontId="0" fillId="0" borderId="0" pivotButton="0" quotePrefix="0" xfId="0"/>
    <xf numFmtId="10" fontId="0" fillId="0" borderId="0" pivotButton="0" quotePrefix="0" xfId="0"/>
    <xf numFmtId="2" fontId="0" fillId="0" borderId="0" pivotButton="0" quotePrefix="0" xfId="0"/>
    <xf numFmtId="9" fontId="0" fillId="0" borderId="0" pivotButton="0" quotePrefix="0" xfId="0"/>
    <xf numFmtId="170" fontId="0" fillId="0" borderId="0" pivotButton="0" quotePrefix="0" xfId="0"/>
    <xf numFmtId="169" fontId="0" fillId="0" borderId="0" pivotButton="0" quotePrefix="0" xfId="0"/>
    <xf numFmtId="170" fontId="0" fillId="0" borderId="0" pivotButton="0" quotePrefix="0" xfId="0"/>
  </cellXfs>
  <cellStyles count="1">
    <cellStyle name="ปกติ" xfId="0" builtinId="0"/>
  </cellStyles>
  <dxfs count="19">
    <dxf>
      <font>
        <name val="Arial"/>
        <charset val="1"/>
        <b val="1"/>
        <color rgb="FFB8860B"/>
        <sz val="11"/>
      </font>
      <fill>
        <patternFill>
          <bgColor rgb="FFFFF2CC"/>
        </patternFill>
      </fill>
    </dxf>
    <dxf>
      <font>
        <name val="Arial"/>
        <charset val="1"/>
        <b val="1"/>
        <color rgb="FF0F6E56"/>
        <sz val="11"/>
      </font>
      <fill>
        <patternFill>
          <bgColor rgb="FFE2EFDA"/>
        </patternFill>
      </fill>
    </dxf>
    <dxf>
      <font>
        <name val="Arial"/>
        <charset val="1"/>
        <b val="1"/>
        <color rgb="FFC0392B"/>
        <sz val="14"/>
      </font>
      <fill>
        <patternFill>
          <bgColor rgb="FFFCE4E4"/>
        </patternFill>
      </fill>
    </dxf>
    <dxf>
      <font>
        <name val="Arial"/>
        <charset val="1"/>
        <b val="1"/>
        <color rgb="FF0F6E56"/>
        <sz val="14"/>
      </font>
      <fill>
        <patternFill>
          <bgColor rgb="FFE2EFDA"/>
        </patternFill>
      </fill>
    </dxf>
    <dxf>
      <font>
        <name val="Arial"/>
        <charset val="1"/>
        <b val="1"/>
        <color rgb="FFFFFFFF"/>
        <sz val="12"/>
      </font>
      <fill>
        <patternFill>
          <bgColor rgb="FFC0392B"/>
        </patternFill>
      </fill>
    </dxf>
    <dxf>
      <font>
        <name val="Arial"/>
        <charset val="1"/>
        <b val="1"/>
        <color rgb="FFFFFFFF"/>
        <sz val="12"/>
      </font>
      <fill>
        <patternFill>
          <bgColor rgb="FFB8860B"/>
        </patternFill>
      </fill>
    </dxf>
    <dxf>
      <font>
        <name val="Arial"/>
        <charset val="1"/>
        <b val="1"/>
        <color rgb="FFFFFFFF"/>
        <sz val="12"/>
      </font>
      <fill>
        <patternFill>
          <bgColor rgb="FF0F6E56"/>
        </patternFill>
      </fill>
    </dxf>
    <dxf>
      <font>
        <name val="Arial"/>
        <charset val="1"/>
        <b val="1"/>
        <color rgb="FFC0392B"/>
        <sz val="11"/>
      </font>
      <fill>
        <patternFill>
          <bgColor rgb="FFFCE4E4"/>
        </patternFill>
      </fill>
    </dxf>
    <dxf>
      <font>
        <name val="Arial"/>
        <charset val="1"/>
        <b val="1"/>
        <color rgb="FF0F6E56"/>
        <sz val="11"/>
      </font>
      <fill>
        <patternFill>
          <bgColor rgb="FFE2EFDA"/>
        </patternFill>
      </fill>
    </dxf>
    <dxf>
      <font>
        <name val="Arial"/>
        <charset val="1"/>
        <b val="1"/>
        <color rgb="FFC0392B"/>
        <sz val="11"/>
      </font>
      <fill>
        <patternFill>
          <bgColor rgb="FFFCE4E4"/>
        </patternFill>
      </fill>
    </dxf>
    <dxf>
      <font>
        <name val="Arial"/>
        <charset val="1"/>
        <b val="1"/>
        <color rgb="FF0F6E56"/>
        <sz val="11"/>
      </font>
      <fill>
        <patternFill>
          <bgColor rgb="FFE2EFDA"/>
        </patternFill>
      </fill>
    </dxf>
    <dxf>
      <font>
        <name val="Arial"/>
        <charset val="1"/>
        <b val="1"/>
        <color rgb="FFC0392B"/>
        <sz val="11"/>
      </font>
      <fill>
        <patternFill>
          <bgColor rgb="FFFCE4E4"/>
        </patternFill>
      </fill>
    </dxf>
    <dxf>
      <font>
        <name val="Arial"/>
        <charset val="1"/>
        <b val="1"/>
        <color rgb="FF0F6E56"/>
        <sz val="11"/>
      </font>
      <fill>
        <patternFill>
          <bgColor rgb="FFE2EFDA"/>
        </patternFill>
      </fill>
    </dxf>
    <dxf>
      <font>
        <name val="Arial"/>
        <charset val="1"/>
        <b val="1"/>
        <color rgb="FFC0392B"/>
        <sz val="11"/>
      </font>
      <fill>
        <patternFill>
          <bgColor rgb="FFFCE4E4"/>
        </patternFill>
      </fill>
    </dxf>
    <dxf>
      <font>
        <name val="Arial"/>
        <charset val="1"/>
        <b val="1"/>
        <color rgb="FF0F6E56"/>
        <sz val="11"/>
      </font>
      <fill>
        <patternFill>
          <bgColor rgb="FFE2EFDA"/>
        </patternFill>
      </fill>
    </dxf>
    <dxf>
      <font>
        <name val="Arial"/>
        <charset val="1"/>
        <b val="1"/>
        <color rgb="FFC0392B"/>
        <sz val="11"/>
      </font>
      <fill>
        <patternFill>
          <bgColor rgb="FFFCE4E4"/>
        </patternFill>
      </fill>
    </dxf>
    <dxf>
      <font>
        <name val="Arial"/>
        <charset val="1"/>
        <b val="1"/>
        <color rgb="FF0F6E56"/>
        <sz val="11"/>
      </font>
      <fill>
        <patternFill>
          <bgColor rgb="FFE2EFDA"/>
        </patternFill>
      </fill>
    </dxf>
    <dxf>
      <font>
        <name val="Arial"/>
        <charset val="1"/>
        <b val="1"/>
        <color rgb="FF1F3864"/>
        <sz val="11"/>
      </font>
      <fill>
        <patternFill>
          <bgColor rgb="FFA9D08E"/>
        </patternFill>
      </fill>
    </dxf>
    <dxf>
      <font>
        <name val="Arial"/>
        <charset val="1"/>
        <b val="1"/>
        <color rgb="FFFFFFFF"/>
        <sz val="11"/>
      </font>
      <fill>
        <patternFill>
          <bgColor rgb="FF0F6E56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CC"/>
      <rgbColor rgb="FFFFF200"/>
      <rgbColor rgb="FFFF00FF"/>
      <rgbColor rgb="FF00FFFF"/>
      <rgbColor rgb="FF800000"/>
      <rgbColor rgb="FF008000"/>
      <rgbColor rgb="FF000080"/>
      <rgbColor rgb="FFB8860B"/>
      <rgbColor rgb="FF800080"/>
      <rgbColor rgb="FF0F6E56"/>
      <rgbColor rgb="FFBFBFBF"/>
      <rgbColor rgb="FF878787"/>
      <rgbColor rgb="FF9999FF"/>
      <rgbColor rgb="FF993366"/>
      <rgbColor rgb="FFFFF2CC"/>
      <rgbColor rgb="FFDEEAF6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FFF99"/>
      <rgbColor rgb="FFA9D08E"/>
      <rgbColor rgb="FFFF99CC"/>
      <rgbColor rgb="FFCC99FF"/>
      <rgbColor rgb="FFFCE4E4"/>
      <rgbColor rgb="FF4A7EBB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C0392B"/>
      <rgbColor rgb="FF993366"/>
      <rgbColor rgb="FF2E5C8A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PAIN รวม ตาม Strike</a:t>
            </a:r>
          </a:p>
        </rich>
      </tx>
    </title>
    <plotArea>
      <lineChart>
        <grouping val="standard"/>
        <ser>
          <idx val="0"/>
          <order val="0"/>
          <tx>
            <strRef>
              <f>'Max Pain Calc'!B1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'Max Pain Calc'!$A$2:$A$134</f>
            </numRef>
          </cat>
          <val>
            <numRef>
              <f>'Max Pain Calc'!$B$2:$B$134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1</row>
      <rowOff>0</rowOff>
    </from>
    <ext cx="936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FFB8860B"/>
    <outlinePr summaryBelow="1" summaryRight="1"/>
    <pageSetUpPr/>
  </sheetPr>
  <dimension ref="A1:G205"/>
  <sheetViews>
    <sheetView showGridLines="0" zoomScaleNormal="100" workbookViewId="0">
      <pane ySplit="1" topLeftCell="A2" activePane="bottomLeft" state="frozen"/>
      <selection pane="bottomLeft" activeCell="F6" sqref="F6"/>
    </sheetView>
  </sheetViews>
  <sheetFormatPr baseColWidth="8" defaultColWidth="8.7109375" defaultRowHeight="15"/>
  <cols>
    <col width="12" customWidth="1" style="29" min="1" max="1"/>
    <col width="13" customWidth="1" style="29" min="2" max="3"/>
    <col width="24" customWidth="1" style="29" min="5" max="5"/>
    <col width="16" customWidth="1" style="29" min="6" max="6"/>
    <col width="44" customWidth="1" style="29" min="7" max="7"/>
  </cols>
  <sheetData>
    <row r="1" ht="25.5" customHeight="1" s="29">
      <c r="A1" s="1" t="inlineStr">
        <is>
          <t>STRIKE</t>
        </is>
      </c>
      <c r="B1" s="1" t="inlineStr">
        <is>
          <t>CALL OI</t>
        </is>
      </c>
      <c r="C1" s="1" t="inlineStr">
        <is>
          <t>PUT OI</t>
        </is>
      </c>
      <c r="E1" s="28" t="inlineStr">
        <is>
          <t>ข้อมูลกำกับชุดนี้ (กรอกทุกครั้ง)</t>
        </is>
      </c>
    </row>
    <row r="2" ht="25.5" customHeight="1" s="29">
      <c r="A2" s="2" t="n">
        <v>3750</v>
      </c>
      <c r="B2" s="3" t="n">
        <v>0</v>
      </c>
      <c r="C2" s="3" t="n">
        <v>10</v>
      </c>
      <c r="E2" s="4" t="inlineStr">
        <is>
          <t>Expiration code</t>
        </is>
      </c>
      <c r="F2" s="26" t="inlineStr">
        <is>
          <t>MW1 Week 4 - SEP 2026 (U26)</t>
        </is>
      </c>
      <c r="G2" s="5" t="inlineStr">
        <is>
          <t>เช่น G5MQ6 - ห้ามปนสัญญาเด็ดขาด</t>
        </is>
      </c>
    </row>
    <row r="3" ht="25.5" customHeight="1" s="29">
      <c r="A3" s="2" t="n">
        <v>3800</v>
      </c>
      <c r="B3" s="3" t="n">
        <v>0</v>
      </c>
      <c r="C3" s="3" t="n">
        <v>12</v>
      </c>
      <c r="E3" s="4" t="inlineStr">
        <is>
          <t>วันที่ของข้อมูล</t>
        </is>
      </c>
      <c r="F3" s="27" t="n">
        <v>46290</v>
      </c>
      <c r="G3" s="5" t="inlineStr">
        <is>
          <t>วัน settlement ที่ดึงมา</t>
        </is>
      </c>
    </row>
    <row r="4" ht="25.5" customHeight="1" s="29">
      <c r="A4" s="2" t="n">
        <v>3900</v>
      </c>
      <c r="B4" s="3" t="n">
        <v>0</v>
      </c>
      <c r="C4" s="3" t="n">
        <v>20</v>
      </c>
      <c r="E4" s="4" t="inlineStr">
        <is>
          <t>DTE เหลือกี่วัน</t>
        </is>
      </c>
      <c r="F4" s="26" t="n">
        <v>3</v>
      </c>
      <c r="G4" s="5" t="inlineStr">
        <is>
          <t>เกิน 7 วัน = ไม่มีสัญญาณตามงานวิจัย</t>
        </is>
      </c>
    </row>
    <row r="5" ht="25.5" customHeight="1" s="29">
      <c r="A5" s="2" t="n">
        <v>3925</v>
      </c>
      <c r="B5" s="3" t="n">
        <v>0</v>
      </c>
      <c r="C5" s="3" t="n">
        <v>2</v>
      </c>
      <c r="E5" s="4" t="inlineStr">
        <is>
          <t>Call OI รวม จากหน้า CME</t>
        </is>
      </c>
      <c r="F5" s="26" t="n">
        <v>3432</v>
      </c>
      <c r="G5" s="5" t="inlineStr">
        <is>
          <t>ตัวเลข call oi ที่หน้า OI Chart โชว์</t>
        </is>
      </c>
    </row>
    <row r="6" ht="25.5" customHeight="1" s="29">
      <c r="A6" s="2" t="n">
        <v>3955</v>
      </c>
      <c r="B6" s="3" t="n">
        <v>0</v>
      </c>
      <c r="C6" s="3" t="n">
        <v>1</v>
      </c>
      <c r="E6" s="4" t="inlineStr">
        <is>
          <t>Put OI รวม จากหน้า CME</t>
        </is>
      </c>
      <c r="F6" s="26" t="n">
        <v>3798</v>
      </c>
      <c r="G6" s="5" t="inlineStr">
        <is>
          <t>ตัวเลข put oi ที่หน้า OI Chart โชว์</t>
        </is>
      </c>
    </row>
    <row r="7" ht="15" customHeight="1" s="29">
      <c r="A7" s="2" t="n">
        <v>3960</v>
      </c>
      <c r="B7" s="3" t="n">
        <v>0</v>
      </c>
      <c r="C7" s="3" t="n">
        <v>5</v>
      </c>
    </row>
    <row r="8" ht="15" customHeight="1" s="29">
      <c r="A8" s="2" t="n">
        <v>3975</v>
      </c>
      <c r="B8" s="3" t="n">
        <v>0</v>
      </c>
      <c r="C8" s="3" t="n">
        <v>3</v>
      </c>
    </row>
    <row r="9" ht="15" customHeight="1" s="29">
      <c r="A9" s="2" t="n">
        <v>4000</v>
      </c>
      <c r="B9" s="3" t="n">
        <v>1</v>
      </c>
      <c r="C9" s="3" t="n">
        <v>135</v>
      </c>
    </row>
    <row r="10" ht="15" customHeight="1" s="29">
      <c r="A10" s="2" t="n">
        <v>4025</v>
      </c>
      <c r="B10" s="3" t="n">
        <v>0</v>
      </c>
      <c r="C10" s="3" t="n">
        <v>24</v>
      </c>
    </row>
    <row r="11" ht="15" customHeight="1" s="29">
      <c r="A11" s="2" t="n">
        <v>4040</v>
      </c>
      <c r="B11" s="3" t="n">
        <v>0</v>
      </c>
      <c r="C11" s="3" t="n">
        <v>1</v>
      </c>
    </row>
    <row r="12" ht="15" customHeight="1" s="29">
      <c r="A12" s="2" t="n">
        <v>4045</v>
      </c>
      <c r="B12" s="3" t="n">
        <v>0</v>
      </c>
      <c r="C12" s="3" t="n">
        <v>1</v>
      </c>
    </row>
    <row r="13" ht="15" customHeight="1" s="29">
      <c r="A13" s="2" t="n">
        <v>4050</v>
      </c>
      <c r="B13" s="3" t="n">
        <v>0</v>
      </c>
      <c r="C13" s="3" t="n">
        <v>6</v>
      </c>
    </row>
    <row r="14" ht="15" customHeight="1" s="29">
      <c r="A14" s="2" t="n">
        <v>4060</v>
      </c>
      <c r="B14" s="3" t="n">
        <v>0</v>
      </c>
      <c r="C14" s="3" t="n">
        <v>1</v>
      </c>
    </row>
    <row r="15" ht="15" customHeight="1" s="29">
      <c r="A15" s="2" t="n">
        <v>4075</v>
      </c>
      <c r="B15" s="3" t="n">
        <v>0</v>
      </c>
      <c r="C15" s="3" t="n">
        <v>55</v>
      </c>
    </row>
    <row r="16" ht="15" customHeight="1" s="29">
      <c r="A16" s="2" t="n">
        <v>4080</v>
      </c>
      <c r="B16" s="3" t="n">
        <v>0</v>
      </c>
      <c r="C16" s="3" t="n">
        <v>61</v>
      </c>
    </row>
    <row r="17" ht="15" customHeight="1" s="29">
      <c r="A17" s="2" t="n">
        <v>4085</v>
      </c>
      <c r="B17" s="3" t="n">
        <v>0</v>
      </c>
      <c r="C17" s="3" t="n">
        <v>54</v>
      </c>
    </row>
    <row r="18" ht="15" customHeight="1" s="29">
      <c r="A18" s="2" t="n">
        <v>4090</v>
      </c>
      <c r="B18" s="3" t="n">
        <v>0</v>
      </c>
      <c r="C18" s="3" t="n">
        <v>1</v>
      </c>
    </row>
    <row r="19" ht="15" customHeight="1" s="29">
      <c r="A19" s="2" t="n">
        <v>4100</v>
      </c>
      <c r="B19" s="3" t="n">
        <v>0</v>
      </c>
      <c r="C19" s="3" t="n">
        <v>136</v>
      </c>
    </row>
    <row r="20" ht="15" customHeight="1" s="29">
      <c r="A20" s="2" t="n">
        <v>4105</v>
      </c>
      <c r="B20" s="3" t="n">
        <v>0</v>
      </c>
      <c r="C20" s="3" t="n">
        <v>2</v>
      </c>
    </row>
    <row r="21" ht="15" customHeight="1" s="29">
      <c r="A21" s="2" t="n">
        <v>4115</v>
      </c>
      <c r="B21" s="3" t="n">
        <v>0</v>
      </c>
      <c r="C21" s="3" t="n">
        <v>2</v>
      </c>
    </row>
    <row r="22" ht="15" customHeight="1" s="29">
      <c r="A22" s="2" t="n">
        <v>4120</v>
      </c>
      <c r="B22" s="3" t="n">
        <v>0</v>
      </c>
      <c r="C22" s="3" t="n">
        <v>2</v>
      </c>
    </row>
    <row r="23" ht="15" customHeight="1" s="29">
      <c r="A23" s="2" t="n">
        <v>4125</v>
      </c>
      <c r="B23" s="3" t="n">
        <v>0</v>
      </c>
      <c r="C23" s="3" t="n">
        <v>43</v>
      </c>
    </row>
    <row r="24" ht="15" customHeight="1" s="29">
      <c r="A24" s="2" t="n">
        <v>4130</v>
      </c>
      <c r="B24" s="3" t="n">
        <v>0</v>
      </c>
      <c r="C24" s="3" t="n">
        <v>6</v>
      </c>
    </row>
    <row r="25" ht="15" customHeight="1" s="29">
      <c r="A25" s="2" t="n">
        <v>4135</v>
      </c>
      <c r="B25" s="3" t="n">
        <v>0</v>
      </c>
      <c r="C25" s="3" t="n">
        <v>10</v>
      </c>
    </row>
    <row r="26" ht="15" customHeight="1" s="29">
      <c r="A26" s="2" t="n">
        <v>4140</v>
      </c>
      <c r="B26" s="3" t="n">
        <v>0</v>
      </c>
      <c r="C26" s="3" t="n">
        <v>11</v>
      </c>
    </row>
    <row r="27" ht="15" customHeight="1" s="29">
      <c r="A27" s="2" t="n">
        <v>4145</v>
      </c>
      <c r="B27" s="3" t="n">
        <v>0</v>
      </c>
      <c r="C27" s="3" t="n">
        <v>12</v>
      </c>
    </row>
    <row r="28" ht="15" customHeight="1" s="29">
      <c r="A28" s="2" t="n">
        <v>4150</v>
      </c>
      <c r="B28" s="3" t="n">
        <v>1</v>
      </c>
      <c r="C28" s="3" t="n">
        <v>324</v>
      </c>
    </row>
    <row r="29" ht="15" customHeight="1" s="29">
      <c r="A29" s="2" t="n">
        <v>4155</v>
      </c>
      <c r="B29" s="3" t="n">
        <v>1</v>
      </c>
      <c r="C29" s="3" t="n">
        <v>3</v>
      </c>
    </row>
    <row r="30" ht="15" customHeight="1" s="29">
      <c r="A30" s="2" t="n">
        <v>4160</v>
      </c>
      <c r="B30" s="3" t="n">
        <v>0</v>
      </c>
      <c r="C30" s="3" t="n">
        <v>11</v>
      </c>
    </row>
    <row r="31" ht="15" customHeight="1" s="29">
      <c r="A31" s="2" t="n">
        <v>4165</v>
      </c>
      <c r="B31" s="3" t="n">
        <v>0</v>
      </c>
      <c r="C31" s="3" t="n">
        <v>2</v>
      </c>
    </row>
    <row r="32" ht="15" customHeight="1" s="29">
      <c r="A32" s="2" t="n">
        <v>4170</v>
      </c>
      <c r="B32" s="3" t="n">
        <v>0</v>
      </c>
      <c r="C32" s="3" t="n">
        <v>14</v>
      </c>
    </row>
    <row r="33" ht="15" customHeight="1" s="29">
      <c r="A33" s="2" t="n">
        <v>4175</v>
      </c>
      <c r="B33" s="3" t="n">
        <v>0</v>
      </c>
      <c r="C33" s="3" t="n">
        <v>45</v>
      </c>
    </row>
    <row r="34" ht="15" customHeight="1" s="29">
      <c r="A34" s="2" t="n">
        <v>4180</v>
      </c>
      <c r="B34" s="3" t="n">
        <v>0</v>
      </c>
      <c r="C34" s="3" t="n">
        <v>27</v>
      </c>
    </row>
    <row r="35" ht="15" customHeight="1" s="29">
      <c r="A35" s="2" t="n">
        <v>4185</v>
      </c>
      <c r="B35" s="3" t="n">
        <v>0</v>
      </c>
      <c r="C35" s="3" t="n">
        <v>3</v>
      </c>
    </row>
    <row r="36" ht="15" customHeight="1" s="29">
      <c r="A36" s="2" t="n">
        <v>4190</v>
      </c>
      <c r="B36" s="3" t="n">
        <v>0</v>
      </c>
      <c r="C36" s="3" t="n">
        <v>11</v>
      </c>
    </row>
    <row r="37" ht="15" customHeight="1" s="29">
      <c r="A37" s="2" t="n">
        <v>4195</v>
      </c>
      <c r="B37" s="3" t="n">
        <v>0</v>
      </c>
      <c r="C37" s="3" t="n">
        <v>16</v>
      </c>
    </row>
    <row r="38" ht="15" customHeight="1" s="29">
      <c r="A38" s="2" t="n">
        <v>4200</v>
      </c>
      <c r="B38" s="3" t="n">
        <v>0</v>
      </c>
      <c r="C38" s="3" t="n">
        <v>561</v>
      </c>
    </row>
    <row r="39" ht="15" customHeight="1" s="29">
      <c r="A39" s="2" t="n">
        <v>4205</v>
      </c>
      <c r="B39" s="3" t="n">
        <v>0</v>
      </c>
      <c r="C39" s="3" t="n">
        <v>71</v>
      </c>
    </row>
    <row r="40" ht="15" customHeight="1" s="29">
      <c r="A40" s="2" t="n">
        <v>4210</v>
      </c>
      <c r="B40" s="3" t="n">
        <v>0</v>
      </c>
      <c r="C40" s="3" t="n">
        <v>19</v>
      </c>
    </row>
    <row r="41" ht="15" customHeight="1" s="29">
      <c r="A41" s="2" t="n">
        <v>4215</v>
      </c>
      <c r="B41" s="3" t="n">
        <v>0</v>
      </c>
      <c r="C41" s="3" t="n">
        <v>8</v>
      </c>
    </row>
    <row r="42" ht="15" customHeight="1" s="29">
      <c r="A42" s="2" t="n">
        <v>4220</v>
      </c>
      <c r="B42" s="3" t="n">
        <v>0</v>
      </c>
      <c r="C42" s="3" t="n">
        <v>18</v>
      </c>
    </row>
    <row r="43" ht="15" customHeight="1" s="29">
      <c r="A43" s="2" t="n">
        <v>4225</v>
      </c>
      <c r="B43" s="3" t="n">
        <v>0</v>
      </c>
      <c r="C43" s="3" t="n">
        <v>108</v>
      </c>
    </row>
    <row r="44" ht="15" customHeight="1" s="29">
      <c r="A44" s="2" t="n">
        <v>4230</v>
      </c>
      <c r="B44" s="3" t="n">
        <v>0</v>
      </c>
      <c r="C44" s="3" t="n">
        <v>26</v>
      </c>
    </row>
    <row r="45" ht="15" customHeight="1" s="29">
      <c r="A45" s="2" t="n">
        <v>4235</v>
      </c>
      <c r="B45" s="3" t="n">
        <v>0</v>
      </c>
      <c r="C45" s="3" t="n">
        <v>37</v>
      </c>
    </row>
    <row r="46" ht="15" customHeight="1" s="29">
      <c r="A46" s="2" t="n">
        <v>4240</v>
      </c>
      <c r="B46" s="3" t="n">
        <v>0</v>
      </c>
      <c r="C46" s="3" t="n">
        <v>24</v>
      </c>
    </row>
    <row r="47" ht="15" customHeight="1" s="29">
      <c r="A47" s="2" t="n">
        <v>4245</v>
      </c>
      <c r="B47" s="3" t="n">
        <v>1</v>
      </c>
      <c r="C47" s="3" t="n">
        <v>33</v>
      </c>
    </row>
    <row r="48" ht="15" customHeight="1" s="29">
      <c r="A48" s="2" t="n">
        <v>4250</v>
      </c>
      <c r="B48" s="3" t="n">
        <v>34</v>
      </c>
      <c r="C48" s="3" t="n">
        <v>278</v>
      </c>
    </row>
    <row r="49" ht="15" customHeight="1" s="29">
      <c r="A49" s="2" t="n">
        <v>4255</v>
      </c>
      <c r="B49" s="3" t="n">
        <v>0</v>
      </c>
      <c r="C49" s="3" t="n">
        <v>13</v>
      </c>
    </row>
    <row r="50" ht="15" customHeight="1" s="29">
      <c r="A50" s="2" t="n">
        <v>4260</v>
      </c>
      <c r="B50" s="3" t="n">
        <v>0</v>
      </c>
      <c r="C50" s="3" t="n">
        <v>60</v>
      </c>
    </row>
    <row r="51" ht="15" customHeight="1" s="29">
      <c r="A51" s="2" t="n">
        <v>4265</v>
      </c>
      <c r="B51" s="3" t="n">
        <v>5</v>
      </c>
      <c r="C51" s="3" t="n">
        <v>61</v>
      </c>
    </row>
    <row r="52" ht="15" customHeight="1" s="29">
      <c r="A52" s="2" t="n">
        <v>4270</v>
      </c>
      <c r="B52" s="3" t="n">
        <v>3</v>
      </c>
      <c r="C52" s="3" t="n">
        <v>39</v>
      </c>
    </row>
    <row r="53">
      <c r="A53" s="2" t="n">
        <v>4275</v>
      </c>
      <c r="B53" s="3" t="n">
        <v>5</v>
      </c>
      <c r="C53" s="3" t="n">
        <v>83</v>
      </c>
    </row>
    <row r="54" ht="15" customHeight="1" s="29">
      <c r="A54" s="2" t="n">
        <v>4280</v>
      </c>
      <c r="B54" s="3" t="n">
        <v>2</v>
      </c>
      <c r="C54" s="3" t="n">
        <v>55</v>
      </c>
    </row>
    <row r="55" ht="15" customHeight="1" s="29">
      <c r="A55" s="2" t="n">
        <v>4285</v>
      </c>
      <c r="B55" s="3" t="n">
        <v>1</v>
      </c>
      <c r="C55" s="3" t="n">
        <v>43</v>
      </c>
    </row>
    <row r="56" ht="15" customHeight="1" s="29">
      <c r="A56" s="2" t="n">
        <v>4290</v>
      </c>
      <c r="B56" s="3" t="n">
        <v>2</v>
      </c>
      <c r="C56" s="3" t="n">
        <v>7</v>
      </c>
    </row>
    <row r="57">
      <c r="A57" s="2" t="n">
        <v>4295</v>
      </c>
      <c r="B57" s="3" t="n">
        <v>6</v>
      </c>
      <c r="C57" s="3" t="n">
        <v>14</v>
      </c>
    </row>
    <row r="58">
      <c r="A58" s="2" t="n">
        <v>4300</v>
      </c>
      <c r="B58" s="3" t="n">
        <v>12</v>
      </c>
      <c r="C58" s="3" t="n">
        <v>114</v>
      </c>
    </row>
    <row r="59">
      <c r="A59" s="2" t="n">
        <v>4305</v>
      </c>
      <c r="B59" s="3" t="n">
        <v>10</v>
      </c>
      <c r="C59" s="3" t="n">
        <v>14</v>
      </c>
    </row>
    <row r="60">
      <c r="A60" s="2" t="n">
        <v>4310</v>
      </c>
      <c r="B60" s="3" t="n">
        <v>11</v>
      </c>
      <c r="C60" s="3" t="n">
        <v>56</v>
      </c>
    </row>
    <row r="61">
      <c r="A61" s="2" t="n">
        <v>4315</v>
      </c>
      <c r="B61" s="3" t="n">
        <v>23</v>
      </c>
      <c r="C61" s="3" t="n">
        <v>18</v>
      </c>
    </row>
    <row r="62">
      <c r="A62" s="2" t="n">
        <v>4320</v>
      </c>
      <c r="B62" s="3" t="n">
        <v>82</v>
      </c>
      <c r="C62" s="3" t="n">
        <v>107</v>
      </c>
    </row>
    <row r="63">
      <c r="A63" t="n">
        <v>4325</v>
      </c>
      <c r="B63" t="n">
        <v>120</v>
      </c>
      <c r="C63" t="n">
        <v>533</v>
      </c>
    </row>
    <row r="64">
      <c r="A64" t="n">
        <v>4330</v>
      </c>
      <c r="B64" t="n">
        <v>26</v>
      </c>
      <c r="C64" t="n">
        <v>10</v>
      </c>
    </row>
    <row r="65">
      <c r="A65" t="n">
        <v>4335</v>
      </c>
      <c r="B65" t="n">
        <v>300</v>
      </c>
      <c r="C65" t="n">
        <v>21</v>
      </c>
    </row>
    <row r="66">
      <c r="A66" t="n">
        <v>4340</v>
      </c>
      <c r="B66" t="n">
        <v>252</v>
      </c>
      <c r="C66" t="n">
        <v>13</v>
      </c>
    </row>
    <row r="67">
      <c r="A67" t="n">
        <v>4345</v>
      </c>
      <c r="B67" t="n">
        <v>46</v>
      </c>
      <c r="C67" t="n">
        <v>29</v>
      </c>
    </row>
    <row r="68">
      <c r="A68" t="n">
        <v>4350</v>
      </c>
      <c r="B68" t="n">
        <v>130</v>
      </c>
      <c r="C68" t="n">
        <v>46</v>
      </c>
    </row>
    <row r="69">
      <c r="A69" t="n">
        <v>4355</v>
      </c>
      <c r="B69" t="n">
        <v>38</v>
      </c>
      <c r="C69" t="n">
        <v>1</v>
      </c>
    </row>
    <row r="70">
      <c r="A70" t="n">
        <v>4360</v>
      </c>
      <c r="B70" t="n">
        <v>75</v>
      </c>
      <c r="C70" t="n">
        <v>11</v>
      </c>
    </row>
    <row r="71">
      <c r="A71" t="n">
        <v>4365</v>
      </c>
      <c r="B71" t="n">
        <v>17</v>
      </c>
      <c r="C71" t="n">
        <v>1</v>
      </c>
    </row>
    <row r="72">
      <c r="A72" t="n">
        <v>4370</v>
      </c>
      <c r="B72" t="n">
        <v>57</v>
      </c>
      <c r="C72" t="n">
        <v>0</v>
      </c>
    </row>
    <row r="73">
      <c r="A73" t="n">
        <v>4375</v>
      </c>
      <c r="B73" t="n">
        <v>245</v>
      </c>
      <c r="C73" t="n">
        <v>42</v>
      </c>
    </row>
    <row r="74">
      <c r="A74" t="n">
        <v>4380</v>
      </c>
      <c r="B74" t="n">
        <v>44</v>
      </c>
      <c r="C74" t="n">
        <v>0</v>
      </c>
    </row>
    <row r="75">
      <c r="A75" t="n">
        <v>4385</v>
      </c>
      <c r="B75" t="n">
        <v>33</v>
      </c>
      <c r="C75" t="n">
        <v>0</v>
      </c>
    </row>
    <row r="76">
      <c r="A76" t="n">
        <v>4390</v>
      </c>
      <c r="B76" t="n">
        <v>37</v>
      </c>
      <c r="C76" t="n">
        <v>0</v>
      </c>
    </row>
    <row r="77">
      <c r="A77" t="n">
        <v>4395</v>
      </c>
      <c r="B77" t="n">
        <v>22</v>
      </c>
      <c r="C77" t="n">
        <v>9</v>
      </c>
    </row>
    <row r="78">
      <c r="A78" t="n">
        <v>4400</v>
      </c>
      <c r="B78" t="n">
        <v>155</v>
      </c>
      <c r="C78" t="n">
        <v>62</v>
      </c>
    </row>
    <row r="79">
      <c r="A79" t="n">
        <v>4405</v>
      </c>
      <c r="B79" t="n">
        <v>13</v>
      </c>
      <c r="C79" t="n">
        <v>4</v>
      </c>
    </row>
    <row r="80">
      <c r="A80" t="n">
        <v>4410</v>
      </c>
      <c r="B80" t="n">
        <v>18</v>
      </c>
      <c r="C80" t="n">
        <v>9</v>
      </c>
    </row>
    <row r="81">
      <c r="A81" t="n">
        <v>4415</v>
      </c>
      <c r="B81" t="n">
        <v>26</v>
      </c>
      <c r="C81" t="n">
        <v>1</v>
      </c>
    </row>
    <row r="82">
      <c r="A82" t="n">
        <v>4420</v>
      </c>
      <c r="B82" t="n">
        <v>20</v>
      </c>
      <c r="C82" t="n">
        <v>0</v>
      </c>
    </row>
    <row r="83">
      <c r="A83" t="n">
        <v>4425</v>
      </c>
      <c r="B83" t="n">
        <v>44</v>
      </c>
      <c r="C83" t="n">
        <v>8</v>
      </c>
    </row>
    <row r="84">
      <c r="A84" t="n">
        <v>4430</v>
      </c>
      <c r="B84" t="n">
        <v>7</v>
      </c>
      <c r="C84" t="n">
        <v>0</v>
      </c>
    </row>
    <row r="85">
      <c r="A85" t="n">
        <v>4435</v>
      </c>
      <c r="B85" t="n">
        <v>6</v>
      </c>
      <c r="C85" t="n">
        <v>0</v>
      </c>
    </row>
    <row r="86">
      <c r="A86" t="n">
        <v>4440</v>
      </c>
      <c r="B86" t="n">
        <v>14</v>
      </c>
      <c r="C86" t="n">
        <v>0</v>
      </c>
    </row>
    <row r="87">
      <c r="A87" t="n">
        <v>4445</v>
      </c>
      <c r="B87" t="n">
        <v>19</v>
      </c>
      <c r="C87" t="n">
        <v>0</v>
      </c>
    </row>
    <row r="88">
      <c r="A88" t="n">
        <v>4450</v>
      </c>
      <c r="B88" t="n">
        <v>137</v>
      </c>
      <c r="C88" t="n">
        <v>5</v>
      </c>
    </row>
    <row r="89">
      <c r="A89" t="n">
        <v>4455</v>
      </c>
      <c r="B89" t="n">
        <v>9</v>
      </c>
      <c r="C89" t="n">
        <v>0</v>
      </c>
    </row>
    <row r="90">
      <c r="A90" t="n">
        <v>4460</v>
      </c>
      <c r="B90" t="n">
        <v>20</v>
      </c>
      <c r="C90" t="n">
        <v>0</v>
      </c>
    </row>
    <row r="91">
      <c r="A91" t="n">
        <v>4465</v>
      </c>
      <c r="B91" t="n">
        <v>3</v>
      </c>
      <c r="C91" t="n">
        <v>0</v>
      </c>
    </row>
    <row r="92">
      <c r="A92" t="n">
        <v>4470</v>
      </c>
      <c r="B92" t="n">
        <v>6</v>
      </c>
      <c r="C92" t="n">
        <v>0</v>
      </c>
    </row>
    <row r="93">
      <c r="A93" t="n">
        <v>4475</v>
      </c>
      <c r="B93" t="n">
        <v>33</v>
      </c>
      <c r="C93" t="n">
        <v>5</v>
      </c>
    </row>
    <row r="94">
      <c r="A94" t="n">
        <v>4480</v>
      </c>
      <c r="B94" t="n">
        <v>3</v>
      </c>
      <c r="C94" t="n">
        <v>0</v>
      </c>
    </row>
    <row r="95">
      <c r="A95" t="n">
        <v>4485</v>
      </c>
      <c r="B95" t="n">
        <v>24</v>
      </c>
      <c r="C95" t="n">
        <v>0</v>
      </c>
    </row>
    <row r="96">
      <c r="A96" t="n">
        <v>4495</v>
      </c>
      <c r="B96" t="n">
        <v>14</v>
      </c>
      <c r="C96" t="n">
        <v>0</v>
      </c>
    </row>
    <row r="97">
      <c r="A97" t="n">
        <v>4500</v>
      </c>
      <c r="B97" t="n">
        <v>156</v>
      </c>
      <c r="C97" t="n">
        <v>11</v>
      </c>
    </row>
    <row r="98">
      <c r="A98" t="n">
        <v>4505</v>
      </c>
      <c r="B98" t="n">
        <v>2</v>
      </c>
      <c r="C98" t="n">
        <v>0</v>
      </c>
    </row>
    <row r="99">
      <c r="A99" t="n">
        <v>4510</v>
      </c>
      <c r="B99" t="n">
        <v>2</v>
      </c>
      <c r="C99" t="n">
        <v>0</v>
      </c>
    </row>
    <row r="100">
      <c r="A100" t="n">
        <v>4525</v>
      </c>
      <c r="B100" t="n">
        <v>18</v>
      </c>
      <c r="C100" t="n">
        <v>12</v>
      </c>
    </row>
    <row r="101">
      <c r="A101" t="n">
        <v>4530</v>
      </c>
      <c r="B101" t="n">
        <v>2</v>
      </c>
      <c r="C101" t="n">
        <v>0</v>
      </c>
    </row>
    <row r="102">
      <c r="A102" t="n">
        <v>4550</v>
      </c>
      <c r="B102" t="n">
        <v>215</v>
      </c>
      <c r="C102" t="n">
        <v>12</v>
      </c>
    </row>
    <row r="103">
      <c r="A103" t="n">
        <v>4575</v>
      </c>
      <c r="B103" t="n">
        <v>27</v>
      </c>
      <c r="C103" t="n">
        <v>7</v>
      </c>
    </row>
    <row r="104">
      <c r="A104" t="n">
        <v>4580</v>
      </c>
      <c r="B104" t="n">
        <v>5</v>
      </c>
      <c r="C104" t="n">
        <v>0</v>
      </c>
    </row>
    <row r="105">
      <c r="A105" t="n">
        <v>4600</v>
      </c>
      <c r="B105" t="n">
        <v>64</v>
      </c>
      <c r="C105" t="n">
        <v>2</v>
      </c>
    </row>
    <row r="106">
      <c r="A106" t="n">
        <v>4605</v>
      </c>
      <c r="B106" t="n">
        <v>1</v>
      </c>
      <c r="C106" t="n">
        <v>0</v>
      </c>
    </row>
    <row r="107">
      <c r="A107" t="n">
        <v>4620</v>
      </c>
      <c r="B107" t="n">
        <v>1</v>
      </c>
      <c r="C107" t="n">
        <v>0</v>
      </c>
    </row>
    <row r="108">
      <c r="A108" t="n">
        <v>4625</v>
      </c>
      <c r="B108" t="n">
        <v>79</v>
      </c>
      <c r="C108" t="n">
        <v>1</v>
      </c>
    </row>
    <row r="109">
      <c r="A109" t="n">
        <v>4635</v>
      </c>
      <c r="B109" t="n">
        <v>0</v>
      </c>
      <c r="C109" t="n">
        <v>0</v>
      </c>
    </row>
    <row r="110">
      <c r="A110" t="n">
        <v>4650</v>
      </c>
      <c r="B110" t="n">
        <v>43</v>
      </c>
      <c r="C110" t="n">
        <v>1</v>
      </c>
    </row>
    <row r="111">
      <c r="A111" t="n">
        <v>4675</v>
      </c>
      <c r="B111" t="n">
        <v>16</v>
      </c>
      <c r="C111" t="n">
        <v>2</v>
      </c>
    </row>
    <row r="112">
      <c r="A112" t="n">
        <v>4700</v>
      </c>
      <c r="B112" t="n">
        <v>49</v>
      </c>
      <c r="C112" t="n">
        <v>0</v>
      </c>
    </row>
    <row r="113">
      <c r="A113" t="n">
        <v>4725</v>
      </c>
      <c r="B113" t="n">
        <v>40</v>
      </c>
      <c r="C113" t="n">
        <v>1</v>
      </c>
    </row>
    <row r="114">
      <c r="A114" t="n">
        <v>4750</v>
      </c>
      <c r="B114" t="n">
        <v>18</v>
      </c>
      <c r="C114" t="n">
        <v>0</v>
      </c>
    </row>
    <row r="115">
      <c r="A115" t="n">
        <v>4775</v>
      </c>
      <c r="B115" t="n">
        <v>22</v>
      </c>
      <c r="C115" t="n">
        <v>0</v>
      </c>
    </row>
    <row r="116">
      <c r="A116" t="n">
        <v>4800</v>
      </c>
      <c r="B116" t="n">
        <v>43</v>
      </c>
      <c r="C116" t="n">
        <v>0</v>
      </c>
    </row>
    <row r="117">
      <c r="A117" t="n">
        <v>4825</v>
      </c>
      <c r="B117" t="n">
        <v>17</v>
      </c>
      <c r="C117" t="n">
        <v>0</v>
      </c>
    </row>
    <row r="118">
      <c r="A118" t="n">
        <v>4850</v>
      </c>
      <c r="B118" t="n">
        <v>67</v>
      </c>
      <c r="C118" t="n">
        <v>0</v>
      </c>
    </row>
    <row r="119">
      <c r="A119" t="n">
        <v>4875</v>
      </c>
      <c r="B119" t="n">
        <v>27</v>
      </c>
      <c r="C119" t="n">
        <v>0</v>
      </c>
    </row>
    <row r="120">
      <c r="A120" t="n">
        <v>4900</v>
      </c>
      <c r="B120" t="n">
        <v>48</v>
      </c>
      <c r="C120" t="n">
        <v>0</v>
      </c>
    </row>
    <row r="121">
      <c r="A121" t="n">
        <v>4925</v>
      </c>
      <c r="B121" t="n">
        <v>53</v>
      </c>
      <c r="C121" t="n">
        <v>0</v>
      </c>
    </row>
    <row r="122">
      <c r="A122" t="n">
        <v>4950</v>
      </c>
      <c r="B122" t="n">
        <v>8</v>
      </c>
      <c r="C122" t="n">
        <v>0</v>
      </c>
    </row>
    <row r="123">
      <c r="A123" t="n">
        <v>4975</v>
      </c>
      <c r="B123" t="n">
        <v>7</v>
      </c>
      <c r="C123" t="n">
        <v>0</v>
      </c>
    </row>
    <row r="124">
      <c r="A124" t="n">
        <v>5000</v>
      </c>
      <c r="B124" t="n">
        <v>96</v>
      </c>
      <c r="C124" t="n">
        <v>0</v>
      </c>
    </row>
    <row r="125">
      <c r="A125" t="n">
        <v>5025</v>
      </c>
      <c r="B125" t="n">
        <v>11</v>
      </c>
      <c r="C125" t="n">
        <v>0</v>
      </c>
    </row>
    <row r="126">
      <c r="A126" t="n">
        <v>5050</v>
      </c>
      <c r="B126" t="n">
        <v>6</v>
      </c>
      <c r="C126" t="n">
        <v>0</v>
      </c>
    </row>
    <row r="127">
      <c r="A127" t="n">
        <v>5075</v>
      </c>
      <c r="B127" t="n">
        <v>4</v>
      </c>
      <c r="C127" t="n">
        <v>0</v>
      </c>
    </row>
    <row r="128">
      <c r="A128" t="n">
        <v>5100</v>
      </c>
      <c r="B128" t="n">
        <v>7</v>
      </c>
      <c r="C128" t="n">
        <v>0</v>
      </c>
    </row>
    <row r="129">
      <c r="A129" t="n">
        <v>5125</v>
      </c>
      <c r="B129" t="n">
        <v>5</v>
      </c>
      <c r="C129" t="n">
        <v>0</v>
      </c>
    </row>
    <row r="130">
      <c r="A130" t="n">
        <v>5150</v>
      </c>
      <c r="B130" t="n">
        <v>12</v>
      </c>
      <c r="C130" t="n">
        <v>0</v>
      </c>
    </row>
    <row r="131">
      <c r="A131" t="n">
        <v>5200</v>
      </c>
      <c r="B131" t="n">
        <v>16</v>
      </c>
      <c r="C131" t="n">
        <v>0</v>
      </c>
    </row>
    <row r="132">
      <c r="A132" t="n">
        <v>5250</v>
      </c>
      <c r="B132" t="n">
        <v>11</v>
      </c>
      <c r="C132" t="n">
        <v>0</v>
      </c>
    </row>
    <row r="133">
      <c r="A133" t="n">
        <v>5300</v>
      </c>
      <c r="B133" t="n">
        <v>4</v>
      </c>
      <c r="C133" t="n">
        <v>0</v>
      </c>
    </row>
    <row r="134">
      <c r="A134" t="n">
        <v>5400</v>
      </c>
      <c r="B134" t="n">
        <v>17</v>
      </c>
      <c r="C134" t="n">
        <v>0</v>
      </c>
    </row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3">
      <c r="A203" t="inlineStr">
        <is>
          <t>expiration เดียว วันเดียวเท่านั้น | สูตรครอบคลุมแถว 2-201 (200 strike) ช่อง "ตรวจช่วงสูตร" ในชีท Max Pain Calc จะเตือนเองถ้ากรอกเกินช่วงนี้</t>
        </is>
      </c>
    </row>
    <row r="204"/>
    <row r="205"/>
  </sheetData>
  <mergeCells count="2">
    <mergeCell ref="A203:C205"/>
    <mergeCell ref="E1:G1"/>
  </mergeCells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tabColor rgb="FF0F6E56"/>
    <outlinePr summaryBelow="1" summaryRight="1"/>
    <pageSetUpPr/>
  </sheetPr>
  <dimension ref="A1:F201"/>
  <sheetViews>
    <sheetView showGridLines="0" tabSelected="1" zoomScaleNormal="100" workbookViewId="0">
      <pane ySplit="1" topLeftCell="A2" activePane="bottomLeft" state="frozen"/>
      <selection pane="bottomLeft" activeCell="F5" sqref="F5"/>
    </sheetView>
  </sheetViews>
  <sheetFormatPr baseColWidth="8" defaultColWidth="8.7109375" defaultRowHeight="15"/>
  <cols>
    <col width="12" customWidth="1" style="29" min="1" max="1"/>
    <col width="15" customWidth="1" style="29" min="2" max="2"/>
    <col width="14" customWidth="1" style="29" min="3" max="3"/>
    <col width="3" customWidth="1" style="29" min="4" max="4"/>
    <col width="32" customWidth="1" style="29" min="5" max="5"/>
    <col width="36" customWidth="1" style="29" min="6" max="6"/>
  </cols>
  <sheetData>
    <row r="1" ht="24" customHeight="1" s="29">
      <c r="A1" s="6" t="inlineStr">
        <is>
          <t>STRIKE</t>
        </is>
      </c>
      <c r="B1" s="6" t="inlineStr">
        <is>
          <t>PAIN รวม</t>
        </is>
      </c>
      <c r="C1" s="6" t="inlineStr">
        <is>
          <t>P/C OI Ratio</t>
        </is>
      </c>
      <c r="E1" s="28" t="inlineStr">
        <is>
          <t>ผลการคำนวณ</t>
        </is>
      </c>
    </row>
    <row r="2" ht="30" customHeight="1" s="29">
      <c r="A2" s="7">
        <f>IF('OI Data'!A2="","",'OI Data'!A2)</f>
        <v/>
      </c>
      <c r="B2" s="8">
        <f>IF($A2="","",SUMPRODUCT(('OI Data'!$A$2:$A$201&lt;$A2)*($A2-'OI Data'!$A$2:$A$201)*'OI Data'!$B$2:$B$201)+SUMPRODUCT(('OI Data'!$A$2:$A$201&gt;$A2)*('OI Data'!$A$2:$A$201-$A2)*'OI Data'!$C$2:$C$201))</f>
        <v/>
      </c>
      <c r="C2" s="9">
        <f>IF($A2="","",IF('OI Data'!B2=0,IF('OI Data'!C2=0,"-","Put ล้วน"),'OI Data'!C2/'OI Data'!B2))</f>
        <v/>
      </c>
      <c r="E2" s="10" t="inlineStr">
        <is>
          <t>MAX PAIN STRIKE</t>
        </is>
      </c>
      <c r="F2" s="11">
        <f>INDEX($A$2:$A$201,MATCH(MIN($B$2:$B$201),$B$2:$B$201,0))</f>
        <v/>
      </c>
    </row>
    <row r="3" ht="21.75" customHeight="1" s="29">
      <c r="A3" s="7">
        <f>IF('OI Data'!A3="","",'OI Data'!A3)</f>
        <v/>
      </c>
      <c r="B3" s="8">
        <f>IF($A3="","",SUMPRODUCT(('OI Data'!$A$2:$A$201&lt;$A3)*($A3-'OI Data'!$A$2:$A$201)*'OI Data'!$B$2:$B$201)+SUMPRODUCT(('OI Data'!$A$2:$A$201&gt;$A3)*('OI Data'!$A$2:$A$201-$A3)*'OI Data'!$C$2:$C$201))</f>
        <v/>
      </c>
      <c r="C3" s="9">
        <f>IF($A3="","",IF('OI Data'!B3=0,IF('OI Data'!C3=0,"-","Put ล้วน"),'OI Data'!C3/'OI Data'!B3))</f>
        <v/>
      </c>
      <c r="E3" s="10" t="inlineStr">
        <is>
          <t>PAIN ต่ำสุด</t>
        </is>
      </c>
      <c r="F3" s="12">
        <f>MIN($B$2:$B$201)</f>
        <v/>
      </c>
    </row>
    <row r="4" ht="21.75" customHeight="1" s="29">
      <c r="A4" s="7">
        <f>IF('OI Data'!A4="","",'OI Data'!A4)</f>
        <v/>
      </c>
      <c r="B4" s="8">
        <f>IF($A4="","",SUMPRODUCT(('OI Data'!$A$2:$A$201&lt;$A4)*($A4-'OI Data'!$A$2:$A$201)*'OI Data'!$B$2:$B$201)+SUMPRODUCT(('OI Data'!$A$2:$A$201&gt;$A4)*('OI Data'!$A$2:$A$201-$A4)*'OI Data'!$C$2:$C$201))</f>
        <v/>
      </c>
      <c r="C4" s="9">
        <f>IF($A4="","",IF('OI Data'!B4=0,IF('OI Data'!C4=0,"-","Put ล้วน"),'OI Data'!C4/'OI Data'!B4))</f>
        <v/>
      </c>
      <c r="E4" s="10" t="inlineStr">
        <is>
          <t>ราคาปัจจุบัน (กรอกเอง)</t>
        </is>
      </c>
      <c r="F4" s="30" t="n">
        <v>4321.2</v>
      </c>
    </row>
    <row r="5" ht="15" customHeight="1" s="29">
      <c r="A5" s="7">
        <f>IF('OI Data'!A5="","",'OI Data'!A5)</f>
        <v/>
      </c>
      <c r="B5" s="8">
        <f>IF($A5="","",SUMPRODUCT(('OI Data'!$A$2:$A$201&lt;$A5)*($A5-'OI Data'!$A$2:$A$201)*'OI Data'!$B$2:$B$201)+SUMPRODUCT(('OI Data'!$A$2:$A$201&gt;$A5)*('OI Data'!$A$2:$A$201-$A5)*'OI Data'!$C$2:$C$201))</f>
        <v/>
      </c>
      <c r="C5" s="9">
        <f>IF($A5="","",IF('OI Data'!B5=0,IF('OI Data'!C5=0,"-","Put ล้วน"),'OI Data'!C5/'OI Data'!B5))</f>
        <v/>
      </c>
      <c r="E5" s="10" t="inlineStr">
        <is>
          <t>ตรวจช่วงสูตร</t>
        </is>
      </c>
      <c r="F5" s="30">
        <f>IF(COUNT('OI Data'!A:A)&gt;F24,"เตือน: มีข้อมูล "&amp;COUNT('OI Data'!A:A)&amp;" แถว แต่สูตรครอบคลุม "&amp;F24&amp;" แถว - ต้องขยายช่วงสูตรก่อนใช้ผล","ช่วงสูตรครอบคลุมข้อมูลครบ "&amp;F24&amp;" แถว")</f>
        <v/>
      </c>
    </row>
    <row r="6" ht="24" customHeight="1" s="29">
      <c r="A6" s="7">
        <f>IF('OI Data'!A6="","",'OI Data'!A6)</f>
        <v/>
      </c>
      <c r="B6" s="8">
        <f>IF($A6="","",SUMPRODUCT(('OI Data'!$A$2:$A$201&lt;$A6)*($A6-'OI Data'!$A$2:$A$201)*'OI Data'!$B$2:$B$201)+SUMPRODUCT(('OI Data'!$A$2:$A$201&gt;$A6)*('OI Data'!$A$2:$A$201-$A6)*'OI Data'!$C$2:$C$201))</f>
        <v/>
      </c>
      <c r="C6" s="9">
        <f>IF($A6="","",IF('OI Data'!B6=0,IF('OI Data'!C6=0,"-","Put ล้วน"),'OI Data'!C6/'OI Data'!B6))</f>
        <v/>
      </c>
      <c r="E6" s="28" t="inlineStr">
        <is>
          <t>เกณฑ์ที่ 1 — ระยะห่างเป็น %</t>
        </is>
      </c>
    </row>
    <row r="7" ht="21.75" customHeight="1" s="29">
      <c r="A7" s="7">
        <f>IF('OI Data'!A7="","",'OI Data'!A7)</f>
        <v/>
      </c>
      <c r="B7" s="8">
        <f>IF($A7="","",SUMPRODUCT(('OI Data'!$A$2:$A$201&lt;$A7)*($A7-'OI Data'!$A$2:$A$201)*'OI Data'!$B$2:$B$201)+SUMPRODUCT(('OI Data'!$A$2:$A$201&gt;$A7)*('OI Data'!$A$2:$A$201-$A7)*'OI Data'!$C$2:$C$201))</f>
        <v/>
      </c>
      <c r="C7" s="9">
        <f>IF($A7="","",IF('OI Data'!B7=0,IF('OI Data'!C7=0,"-","Put ล้วน"),'OI Data'!C7/'OI Data'!B7))</f>
        <v/>
      </c>
      <c r="E7" s="10" t="inlineStr">
        <is>
          <t>ห่างจากราคา (จุด)</t>
        </is>
      </c>
      <c r="F7" s="31">
        <f>F2-F4</f>
        <v/>
      </c>
    </row>
    <row r="8" ht="30" customHeight="1" s="29">
      <c r="A8" s="7">
        <f>IF('OI Data'!A8="","",'OI Data'!A8)</f>
        <v/>
      </c>
      <c r="B8" s="8">
        <f>IF($A8="","",SUMPRODUCT(('OI Data'!$A$2:$A$201&lt;$A8)*($A8-'OI Data'!$A$2:$A$201)*'OI Data'!$B$2:$B$201)+SUMPRODUCT(('OI Data'!$A$2:$A$201&gt;$A8)*('OI Data'!$A$2:$A$201-$A8)*'OI Data'!$C$2:$C$201))</f>
        <v/>
      </c>
      <c r="C8" s="9">
        <f>IF($A8="","",IF('OI Data'!B8=0,IF('OI Data'!C8=0,"-","Put ล้วน"),'OI Data'!C8/'OI Data'!B8))</f>
        <v/>
      </c>
      <c r="E8" s="10" t="inlineStr">
        <is>
          <t>Max Pain measure (%)</t>
        </is>
      </c>
      <c r="F8" s="32">
        <f>IF(F4=0,"",(F2-F4)/F4)</f>
        <v/>
      </c>
    </row>
    <row r="9" ht="21.75" customHeight="1" s="29">
      <c r="A9" s="7">
        <f>IF('OI Data'!A9="","",'OI Data'!A9)</f>
        <v/>
      </c>
      <c r="B9" s="8">
        <f>IF($A9="","",SUMPRODUCT(('OI Data'!$A$2:$A$201&lt;$A9)*($A9-'OI Data'!$A$2:$A$201)*'OI Data'!$B$2:$B$201)+SUMPRODUCT(('OI Data'!$A$2:$A$201&gt;$A9)*('OI Data'!$A$2:$A$201-$A9)*'OI Data'!$C$2:$C$201))</f>
        <v/>
      </c>
      <c r="C9" s="9">
        <f>IF($A9="","",IF('OI Data'!B9=0,IF('OI Data'!C9=0,"-","Put ล้วน"),'OI Data'!C9/'OI Data'!B9))</f>
        <v/>
      </c>
      <c r="E9" s="10" t="inlineStr">
        <is>
          <t>เกณฑ์โซนกลาง (แก้เองได้)</t>
        </is>
      </c>
      <c r="F9" s="33" t="n">
        <v>0.02</v>
      </c>
    </row>
    <row r="10" ht="21.75" customHeight="1" s="29">
      <c r="A10" s="7">
        <f>IF('OI Data'!A10="","",'OI Data'!A10)</f>
        <v/>
      </c>
      <c r="B10" s="8">
        <f>IF($A10="","",SUMPRODUCT(('OI Data'!$A$2:$A$201&lt;$A10)*($A10-'OI Data'!$A$2:$A$201)*'OI Data'!$B$2:$B$201)+SUMPRODUCT(('OI Data'!$A$2:$A$201&gt;$A10)*('OI Data'!$A$2:$A$201-$A10)*'OI Data'!$C$2:$C$201))</f>
        <v/>
      </c>
      <c r="C10" s="9">
        <f>IF($A10="","",IF('OI Data'!B10=0,IF('OI Data'!C10=0,"-","Put ล้วน"),'OI Data'!C10/'OI Data'!B10))</f>
        <v/>
      </c>
      <c r="E10" s="10" t="inlineStr">
        <is>
          <t>เกณฑ์โซนมีผล (แก้เองได้)</t>
        </is>
      </c>
      <c r="F10" s="33" t="n">
        <v>0.05</v>
      </c>
    </row>
    <row r="11" ht="21.75" customHeight="1" s="29">
      <c r="A11" s="7">
        <f>IF('OI Data'!A11="","",'OI Data'!A11)</f>
        <v/>
      </c>
      <c r="B11" s="8">
        <f>IF($A11="","",SUMPRODUCT(('OI Data'!$A$2:$A$201&lt;$A11)*($A11-'OI Data'!$A$2:$A$201)*'OI Data'!$B$2:$B$201)+SUMPRODUCT(('OI Data'!$A$2:$A$201&gt;$A11)*('OI Data'!$A$2:$A$201-$A11)*'OI Data'!$C$2:$C$201))</f>
        <v/>
      </c>
      <c r="C11" s="9">
        <f>IF($A11="","",IF('OI Data'!B11=0,IF('OI Data'!C11=0,"-","Put ล้วน"),'OI Data'!C11/'OI Data'!B11))</f>
        <v/>
      </c>
      <c r="E11" s="10" t="inlineStr">
        <is>
          <t>เทียบกับงานวิจัย</t>
        </is>
      </c>
      <c r="F11" s="17">
        <f>IF(F8="","",IF(ABS(F8)&lt;F9,"โซนกลาง - ไม่มี edge ตามงานวิจัย",IF(ABS(F8)&lt;F10,"เริ่มออกจากโซนกลาง แต่ยังไม่ถึงกลุ่มที่ทำกำไร",IF(F8&gt;0,"เข้าโซนแบบ P10 (ทิศทางที่แข็งแรงกว่า)","เข้าโซนแบบ P1 (ทิศทางที่อ่อนกว่า)"))))</f>
        <v/>
      </c>
    </row>
    <row r="12" ht="21.75" customHeight="1" s="29">
      <c r="A12" s="7">
        <f>IF('OI Data'!A12="","",'OI Data'!A12)</f>
        <v/>
      </c>
      <c r="B12" s="8">
        <f>IF($A12="","",SUMPRODUCT(('OI Data'!$A$2:$A$201&lt;$A12)*($A12-'OI Data'!$A$2:$A$201)*'OI Data'!$B$2:$B$201)+SUMPRODUCT(('OI Data'!$A$2:$A$201&gt;$A12)*('OI Data'!$A$2:$A$201-$A12)*'OI Data'!$C$2:$C$201))</f>
        <v/>
      </c>
      <c r="C12" s="9">
        <f>IF($A12="","",IF('OI Data'!B12=0,IF('OI Data'!C12=0,"-","Put ล้วน"),'OI Data'!C12/'OI Data'!B12))</f>
        <v/>
      </c>
      <c r="E12" s="10" t="inlineStr">
        <is>
          <t>ทิศทาง</t>
        </is>
      </c>
      <c r="F12" s="17">
        <f>IF(F8="","",IF(F8&gt;0,"ฝั่งที่งานวิจัยพบผลแรงกว่า"," ฝั่งที่ผลอ่อนกว่ามาก"))</f>
        <v/>
      </c>
    </row>
    <row r="13" ht="15" customHeight="1" s="29">
      <c r="A13" s="7">
        <f>IF('OI Data'!A13="","",'OI Data'!A13)</f>
        <v/>
      </c>
      <c r="B13" s="8">
        <f>IF($A13="","",SUMPRODUCT(('OI Data'!$A$2:$A$201&lt;$A13)*($A13-'OI Data'!$A$2:$A$201)*'OI Data'!$B$2:$B$201)+SUMPRODUCT(('OI Data'!$A$2:$A$201&gt;$A13)*('OI Data'!$A$2:$A$201-$A13)*'OI Data'!$C$2:$C$201))</f>
        <v/>
      </c>
      <c r="C13" s="9">
        <f>IF($A13="","",IF('OI Data'!B13=0,IF('OI Data'!C13=0,"-","Put ล้วน"),'OI Data'!C13/'OI Data'!B13))</f>
        <v/>
      </c>
    </row>
    <row r="14" ht="24" customHeight="1" s="29">
      <c r="A14" s="7">
        <f>IF('OI Data'!A14="","",'OI Data'!A14)</f>
        <v/>
      </c>
      <c r="B14" s="8">
        <f>IF($A14="","",SUMPRODUCT(('OI Data'!$A$2:$A$201&lt;$A14)*($A14-'OI Data'!$A$2:$A$201)*'OI Data'!$B$2:$B$201)+SUMPRODUCT(('OI Data'!$A$2:$A$201&gt;$A14)*('OI Data'!$A$2:$A$201-$A14)*'OI Data'!$C$2:$C$201))</f>
        <v/>
      </c>
      <c r="C14" s="9">
        <f>IF($A14="","",IF('OI Data'!B14=0,IF('OI Data'!C14=0,"-","Put ล้วน"),'OI Data'!C14/'OI Data'!B14))</f>
        <v/>
      </c>
      <c r="E14" s="28" t="inlineStr">
        <is>
          <t>เกณฑ์ที่ 2 — ความชัดของก้นหุบ</t>
        </is>
      </c>
    </row>
    <row r="15" ht="21.75" customHeight="1" s="29">
      <c r="A15" s="7">
        <f>IF('OI Data'!A15="","",'OI Data'!A15)</f>
        <v/>
      </c>
      <c r="B15" s="8">
        <f>IF($A15="","",SUMPRODUCT(('OI Data'!$A$2:$A$201&lt;$A15)*($A15-'OI Data'!$A$2:$A$201)*'OI Data'!$B$2:$B$201)+SUMPRODUCT(('OI Data'!$A$2:$A$201&gt;$A15)*('OI Data'!$A$2:$A$201-$A15)*'OI Data'!$C$2:$C$201))</f>
        <v/>
      </c>
      <c r="C15" s="9">
        <f>IF($A15="","",IF('OI Data'!B15=0,IF('OI Data'!C15=0,"-","Put ล้วน"),'OI Data'!C15/'OI Data'!B15))</f>
        <v/>
      </c>
      <c r="E15" s="10" t="inlineStr">
        <is>
          <t>จำนวน strike ที่ pain ต่างจากต่ำสุด &lt;2%</t>
        </is>
      </c>
      <c r="F15" s="25">
        <f>COUNTIF($B$2:$B$201,"&lt;"&amp;F3*1.02)</f>
        <v/>
      </c>
    </row>
    <row r="16" ht="21.75" customHeight="1" s="29">
      <c r="A16" s="7">
        <f>IF('OI Data'!A16="","",'OI Data'!A16)</f>
        <v/>
      </c>
      <c r="B16" s="8">
        <f>IF($A16="","",SUMPRODUCT(('OI Data'!$A$2:$A$201&lt;$A16)*($A16-'OI Data'!$A$2:$A$201)*'OI Data'!$B$2:$B$201)+SUMPRODUCT(('OI Data'!$A$2:$A$201&gt;$A16)*('OI Data'!$A$2:$A$201-$A16)*'OI Data'!$C$2:$C$201))</f>
        <v/>
      </c>
      <c r="C16" s="9">
        <f>IF($A16="","",IF('OI Data'!B16=0,IF('OI Data'!C16=0,"-","Put ล้วน"),'OI Data'!C16/'OI Data'!B16))</f>
        <v/>
      </c>
      <c r="E16" s="10" t="inlineStr">
        <is>
          <t>ช่วงราคาของก้นหุบ</t>
        </is>
      </c>
      <c r="F16" s="18">
        <f>IF(F15=0,"",INDEX($A$2:$A$201,MATCH(TRUE(),INDEX($B$2:$B$201&lt;F3*1.02,0),0))&amp;" - "&amp;LOOKUP(2,1/($B$2:$B$201&lt;F3*1.02),$A$2:$A$201))</f>
        <v/>
      </c>
    </row>
    <row r="17" ht="21.75" customHeight="1" s="29">
      <c r="A17" s="7">
        <f>IF('OI Data'!A17="","",'OI Data'!A17)</f>
        <v/>
      </c>
      <c r="B17" s="8">
        <f>IF($A17="","",SUMPRODUCT(('OI Data'!$A$2:$A$201&lt;$A17)*($A17-'OI Data'!$A$2:$A$201)*'OI Data'!$B$2:$B$201)+SUMPRODUCT(('OI Data'!$A$2:$A$201&gt;$A17)*('OI Data'!$A$2:$A$201-$A17)*'OI Data'!$C$2:$C$201))</f>
        <v/>
      </c>
      <c r="C17" s="9">
        <f>IF($A17="","",IF('OI Data'!B17=0,IF('OI Data'!C17=0,"-","Put ล้วน"),'OI Data'!C17/'OI Data'!B17))</f>
        <v/>
      </c>
      <c r="E17" s="10" t="inlineStr">
        <is>
          <t>อ่านว่า</t>
        </is>
      </c>
      <c r="F17" s="17">
        <f>IF(F15="","",IF(F15&gt;=5,"ก้นหุบแบนมาก - ใช้เป็นโซนเท่านั้น",IF(F15&gt;=3,"ก้นหุบค่อนข้างแบน - มองเป็นโซนดีกว่าจุดเดียว","ก้นหุบชัด - จุดที่ได้มีความหมาย")))</f>
        <v/>
      </c>
    </row>
    <row r="18" ht="15" customHeight="1" s="29">
      <c r="A18" s="7">
        <f>IF('OI Data'!A18="","",'OI Data'!A18)</f>
        <v/>
      </c>
      <c r="B18" s="8">
        <f>IF($A18="","",SUMPRODUCT(('OI Data'!$A$2:$A$201&lt;$A18)*($A18-'OI Data'!$A$2:$A$201)*'OI Data'!$B$2:$B$201)+SUMPRODUCT(('OI Data'!$A$2:$A$201&gt;$A18)*('OI Data'!$A$2:$A$201-$A18)*'OI Data'!$C$2:$C$201))</f>
        <v/>
      </c>
      <c r="C18" s="9">
        <f>IF($A18="","",IF('OI Data'!B18=0,IF('OI Data'!C18=0,"-","Put ล้วน"),'OI Data'!C18/'OI Data'!B18))</f>
        <v/>
      </c>
    </row>
    <row r="19" ht="24" customHeight="1" s="29">
      <c r="A19" s="7">
        <f>IF('OI Data'!A19="","",'OI Data'!A19)</f>
        <v/>
      </c>
      <c r="B19" s="8">
        <f>IF($A19="","",SUMPRODUCT(('OI Data'!$A$2:$A$201&lt;$A19)*($A19-'OI Data'!$A$2:$A$201)*'OI Data'!$B$2:$B$201)+SUMPRODUCT(('OI Data'!$A$2:$A$201&gt;$A19)*('OI Data'!$A$2:$A$201-$A19)*'OI Data'!$C$2:$C$201))</f>
        <v/>
      </c>
      <c r="C19" s="9">
        <f>IF($A19="","",IF('OI Data'!B19=0,IF('OI Data'!C19=0,"-","Put ล้วน"),'OI Data'!C19/'OI Data'!B19))</f>
        <v/>
      </c>
      <c r="E19" s="28" t="inlineStr">
        <is>
          <t>เกณฑ์ที่ 3 — ความสอดคล้อง P/C Ratio</t>
        </is>
      </c>
    </row>
    <row r="20" ht="21.75" customHeight="1" s="29">
      <c r="A20" s="7">
        <f>IF('OI Data'!A20="","",'OI Data'!A20)</f>
        <v/>
      </c>
      <c r="B20" s="8">
        <f>IF($A20="","",SUMPRODUCT(('OI Data'!$A$2:$A$201&lt;$A20)*($A20-'OI Data'!$A$2:$A$201)*'OI Data'!$B$2:$B$201)+SUMPRODUCT(('OI Data'!$A$2:$A$201&gt;$A20)*('OI Data'!$A$2:$A$201-$A20)*'OI Data'!$C$2:$C$201))</f>
        <v/>
      </c>
      <c r="C20" s="9">
        <f>IF($A20="","",IF('OI Data'!B20=0,IF('OI Data'!C20=0,"-","Put ล้วน"),'OI Data'!C20/'OI Data'!B20))</f>
        <v/>
      </c>
      <c r="E20" s="10" t="inlineStr">
        <is>
          <t>Put OI ÷ Call OI รวม</t>
        </is>
      </c>
      <c r="F20" s="19">
        <f>IF(SUM('OI Data'!$B$2:$B$201)=0,"",SUM('OI Data'!$C$2:$C$201)/SUM('OI Data'!$B$2:$B$201))</f>
        <v/>
      </c>
    </row>
    <row r="21" ht="21.75" customHeight="1" s="29">
      <c r="A21" s="7">
        <f>IF('OI Data'!A21="","",'OI Data'!A21)</f>
        <v/>
      </c>
      <c r="B21" s="8">
        <f>IF($A21="","",SUMPRODUCT(('OI Data'!$A$2:$A$201&lt;$A21)*($A21-'OI Data'!$A$2:$A$201)*'OI Data'!$B$2:$B$201)+SUMPRODUCT(('OI Data'!$A$2:$A$201&gt;$A21)*('OI Data'!$A$2:$A$201-$A21)*'OI Data'!$C$2:$C$201))</f>
        <v/>
      </c>
      <c r="C21" s="9">
        <f>IF($A21="","",IF('OI Data'!B21=0,IF('OI Data'!C21=0,"-","Put ล้วน"),'OI Data'!C21/'OI Data'!B21))</f>
        <v/>
      </c>
      <c r="E21" s="10" t="inlineStr">
        <is>
          <t>สอดคล้องกันไหม</t>
        </is>
      </c>
      <c r="F21" s="17">
        <f>IF(OR(F8="",F20=""),"",IF(ABS(F8)&lt;F9,"ไม่ประเมิน (อยู่โซนกลาง P/C ควรใกล้ 1 อยู่แล้ว)",IF(OR(AND(F8&gt;0,F20&gt;1),AND(F8&lt;0,F20&lt;1)),"สอดคล้อง","ขัดแย้ง - ตรวจข้อมูลอีกครั้ง")))</f>
        <v/>
      </c>
    </row>
    <row r="22" ht="15" customHeight="1" s="29">
      <c r="A22" s="7">
        <f>IF('OI Data'!A22="","",'OI Data'!A22)</f>
        <v/>
      </c>
      <c r="B22" s="8">
        <f>IF($A22="","",SUMPRODUCT(('OI Data'!$A$2:$A$201&lt;$A22)*($A22-'OI Data'!$A$2:$A$201)*'OI Data'!$B$2:$B$201)+SUMPRODUCT(('OI Data'!$A$2:$A$201&gt;$A22)*('OI Data'!$A$2:$A$201-$A22)*'OI Data'!$C$2:$C$201))</f>
        <v/>
      </c>
      <c r="C22" s="9">
        <f>IF($A22="","",IF('OI Data'!B22=0,IF('OI Data'!C22=0,"-","Put ล้วน"),'OI Data'!C22/'OI Data'!B22))</f>
        <v/>
      </c>
    </row>
    <row r="23" ht="24" customHeight="1" s="29">
      <c r="A23" s="7">
        <f>IF('OI Data'!A23="","",'OI Data'!A23)</f>
        <v/>
      </c>
      <c r="B23" s="8">
        <f>IF($A23="","",SUMPRODUCT(('OI Data'!$A$2:$A$201&lt;$A23)*($A23-'OI Data'!$A$2:$A$201)*'OI Data'!$B$2:$B$201)+SUMPRODUCT(('OI Data'!$A$2:$A$201&gt;$A23)*('OI Data'!$A$2:$A$201-$A23)*'OI Data'!$C$2:$C$201))</f>
        <v/>
      </c>
      <c r="C23" s="9">
        <f>IF($A23="","",IF('OI Data'!B23=0,IF('OI Data'!C23=0,"-","Put ล้วน"),'OI Data'!C23/'OI Data'!B23))</f>
        <v/>
      </c>
      <c r="E23" s="28" t="inlineStr">
        <is>
          <t xml:space="preserve">ความครอบคลุมของข้อมูล </t>
        </is>
      </c>
    </row>
    <row r="24" ht="21.75" customHeight="1" s="29">
      <c r="A24" s="7">
        <f>IF('OI Data'!A24="","",'OI Data'!A24)</f>
        <v/>
      </c>
      <c r="B24" s="8">
        <f>IF($A24="","",SUMPRODUCT(('OI Data'!$A$2:$A$201&lt;$A24)*($A24-'OI Data'!$A$2:$A$201)*'OI Data'!$B$2:$B$201)+SUMPRODUCT(('OI Data'!$A$2:$A$201&gt;$A24)*('OI Data'!$A$2:$A$201-$A24)*'OI Data'!$C$2:$C$201))</f>
        <v/>
      </c>
      <c r="C24" s="9">
        <f>IF($A24="","",IF('OI Data'!B24=0,IF('OI Data'!C24=0,"-","Put ล้วน"),'OI Data'!C24/'OI Data'!B24))</f>
        <v/>
      </c>
      <c r="E24" s="10" t="inlineStr">
        <is>
          <t>จำนวนแถวที่คำนวณ</t>
        </is>
      </c>
      <c r="F24" s="12">
        <f>COUNT('OI Data'!$A$2:$A$201)</f>
        <v/>
      </c>
    </row>
    <row r="25" ht="21.75" customHeight="1" s="29">
      <c r="A25" s="7">
        <f>IF('OI Data'!A25="","",'OI Data'!A25)</f>
        <v/>
      </c>
      <c r="B25" s="8">
        <f>IF($A25="","",SUMPRODUCT(('OI Data'!$A$2:$A$201&lt;$A25)*($A25-'OI Data'!$A$2:$A$201)*'OI Data'!$B$2:$B$201)+SUMPRODUCT(('OI Data'!$A$2:$A$201&gt;$A25)*('OI Data'!$A$2:$A$201-$A25)*'OI Data'!$C$2:$C$201))</f>
        <v/>
      </c>
      <c r="C25" s="9">
        <f>IF($A25="","",IF('OI Data'!B25=0,IF('OI Data'!C25=0,"-","Put ล้วน"),'OI Data'!C25/'OI Data'!B25))</f>
        <v/>
      </c>
      <c r="E25" s="10" t="inlineStr">
        <is>
          <t>รวม Call OI ที่กรอก</t>
        </is>
      </c>
      <c r="F25" s="12">
        <f>SUM('OI Data'!$B$2:$B$201)</f>
        <v/>
      </c>
    </row>
    <row r="26" ht="21.75" customHeight="1" s="29">
      <c r="A26" s="7">
        <f>IF('OI Data'!A26="","",'OI Data'!A26)</f>
        <v/>
      </c>
      <c r="B26" s="8">
        <f>IF($A26="","",SUMPRODUCT(('OI Data'!$A$2:$A$201&lt;$A26)*($A26-'OI Data'!$A$2:$A$201)*'OI Data'!$B$2:$B$201)+SUMPRODUCT(('OI Data'!$A$2:$A$201&gt;$A26)*('OI Data'!$A$2:$A$201-$A26)*'OI Data'!$C$2:$C$201))</f>
        <v/>
      </c>
      <c r="C26" s="9">
        <f>IF($A26="","",IF('OI Data'!B26=0,IF('OI Data'!C26=0,"-","Put ล้วน"),'OI Data'!C26/'OI Data'!B26))</f>
        <v/>
      </c>
      <c r="E26" s="10" t="inlineStr">
        <is>
          <t>รวม Put OI ที่กรอก</t>
        </is>
      </c>
      <c r="F26" s="12">
        <f>SUM('OI Data'!$C$2:$C$201)</f>
        <v/>
      </c>
    </row>
    <row r="27" ht="21.75" customHeight="1" s="29">
      <c r="A27" s="7">
        <f>IF('OI Data'!A27="","",'OI Data'!A27)</f>
        <v/>
      </c>
      <c r="B27" s="8">
        <f>IF($A27="","",SUMPRODUCT(('OI Data'!$A$2:$A$201&lt;$A27)*($A27-'OI Data'!$A$2:$A$201)*'OI Data'!$B$2:$B$201)+SUMPRODUCT(('OI Data'!$A$2:$A$201&gt;$A27)*('OI Data'!$A$2:$A$201-$A27)*'OI Data'!$C$2:$C$201))</f>
        <v/>
      </c>
      <c r="C27" s="9">
        <f>IF($A27="","",IF('OI Data'!B27=0,IF('OI Data'!C27=0,"-","Put ล้วน"),'OI Data'!C27/'OI Data'!B27))</f>
        <v/>
      </c>
      <c r="E27" s="10" t="inlineStr">
        <is>
          <t>น้ำหนักขอบ (3 แถวบน+ล่าง)</t>
        </is>
      </c>
      <c r="F27" s="34">
        <f>IF(OR((F25+F26)=0,F24&lt;6),"",(SUM('OI Data'!$B$2:$C$4)+SUM(OFFSET('OI Data'!$B$2,F24-3,0,3,2)))/(F25+F26))</f>
        <v/>
      </c>
    </row>
    <row r="28" ht="21.75" customHeight="1" s="29">
      <c r="A28" s="7">
        <f>IF('OI Data'!A28="","",'OI Data'!A28)</f>
        <v/>
      </c>
      <c r="B28" s="8">
        <f>IF($A28="","",SUMPRODUCT(('OI Data'!$A$2:$A$201&lt;$A28)*($A28-'OI Data'!$A$2:$A$201)*'OI Data'!$B$2:$B$201)+SUMPRODUCT(('OI Data'!$A$2:$A$201&gt;$A28)*('OI Data'!$A$2:$A$201-$A28)*'OI Data'!$C$2:$C$201))</f>
        <v/>
      </c>
      <c r="C28" s="9">
        <f>IF($A28="","",IF('OI Data'!B28=0,IF('OI Data'!C28=0,"-","Put ล้วน"),'OI Data'!C28/'OI Data'!B28))</f>
        <v/>
      </c>
      <c r="E28" s="10" t="inlineStr">
        <is>
          <t>ครอบคลุมเทียบยอด CME</t>
        </is>
      </c>
      <c r="F28" s="34">
        <f>IF(OR(NOT(ISNUMBER('OI Data'!F5)),NOT(ISNUMBER('OI Data'!F6))),"ยังไม่ได้กรอกยอด CME",(F25+F26)/('OI Data'!F5+'OI Data'!F6))</f>
        <v/>
      </c>
    </row>
    <row r="29" ht="21.75" customHeight="1" s="29">
      <c r="A29" s="7">
        <f>IF('OI Data'!A29="","",'OI Data'!A29)</f>
        <v/>
      </c>
      <c r="B29" s="8">
        <f>IF($A29="","",SUMPRODUCT(('OI Data'!$A$2:$A$201&lt;$A29)*($A29-'OI Data'!$A$2:$A$201)*'OI Data'!$B$2:$B$201)+SUMPRODUCT(('OI Data'!$A$2:$A$201&gt;$A29)*('OI Data'!$A$2:$A$201-$A29)*'OI Data'!$C$2:$C$201))</f>
        <v/>
      </c>
      <c r="C29" s="9">
        <f>IF($A29="","",IF('OI Data'!B29=0,IF('OI Data'!C29=0,"-","Put ล้วน"),'OI Data'!C29/'OI Data'!B29))</f>
        <v/>
      </c>
      <c r="E29" s="10" t="inlineStr">
        <is>
          <t>ระดับความมั่นใจของข้อมูล</t>
        </is>
      </c>
      <c r="F29" s="18">
        <f>IF(ISNUMBER(F28),IF(F28&gt;=0.98,"สูง - ครอบคลุม "&amp;TEXT(F28,"0%")&amp;" ของยอด CME",IF(F28&gt;=0.9,"ปานกลาง - ครอบคลุม "&amp;TEXT(F28,"0%")&amp;" ยังขาดบ้าง","ต่ำ - ครอบคลุมแค่ "&amp;TEXT(F28,"0%")&amp;" ควรกรอกเพิ่ม")),IF(F27="","",IF(F27&lt;=0.01,"ปานกลาง - ขอบเบา แต่ยังไม่ได้ยืนยันกับยอด CME",IF(F27&lt;=0.03,"ปานกลาง - ขอบยังมีน้ำหนัก แนะนำกรอกยอด CME","ต่ำ - ขอบยังหนัก ควรกรอกยอด CME เพื่อวัดจริง"))))</f>
        <v/>
      </c>
    </row>
    <row r="30" ht="31.5" customHeight="1" s="29">
      <c r="A30" s="7">
        <f>IF('OI Data'!A30="","",'OI Data'!A30)</f>
        <v/>
      </c>
      <c r="B30" s="8">
        <f>IF($A30="","",SUMPRODUCT(('OI Data'!$A$2:$A$201&lt;$A30)*($A30-'OI Data'!$A$2:$A$201)*'OI Data'!$B$2:$B$201)+SUMPRODUCT(('OI Data'!$A$2:$A$201&gt;$A30)*('OI Data'!$A$2:$A$201-$A30)*'OI Data'!$C$2:$C$201))</f>
        <v/>
      </c>
      <c r="C30" s="9">
        <f>IF($A30="","",IF('OI Data'!B30=0,IF('OI Data'!C30=0,"-","Put ล้วน"),'OI Data'!C30/'OI Data'!B30))</f>
        <v/>
      </c>
      <c r="E30" s="21" t="inlineStr">
        <is>
          <t>แนะนำ</t>
        </is>
      </c>
      <c r="F30" s="22">
        <f>IF(F4="","กรอกราคาปัจจุบันก่อน",
 IF('OI Data'!F2="","กรอก Expiration code",
 IF(NOT(ISNUMBER('OI Data'!F3)),"กรอกวัน settlement ของข้อมูล",
 IF(NOT(ISNUMBER(F28)),"กรอกยอดรวม CME ที่ OI Data F5-F6",
 IF(F27&gt;0.03,"ขยายช่วง strike ให้ขอบบางลง",
 "ข้อมูลครบแล้ว - บันทึกลง log ได้")))))</f>
        <v/>
      </c>
    </row>
    <row r="31" ht="24" customHeight="1" s="29">
      <c r="A31" s="7">
        <f>IF('OI Data'!A31="","",'OI Data'!A31)</f>
        <v/>
      </c>
      <c r="B31" s="8">
        <f>IF($A31="","",SUMPRODUCT(('OI Data'!$A$2:$A$201&lt;$A31)*($A31-'OI Data'!$A$2:$A$201)*'OI Data'!$B$2:$B$201)+SUMPRODUCT(('OI Data'!$A$2:$A$201&gt;$A31)*('OI Data'!$A$2:$A$201-$A31)*'OI Data'!$C$2:$C$201))</f>
        <v/>
      </c>
      <c r="C31" s="9">
        <f>IF($A31="","",IF('OI Data'!B31=0,IF('OI Data'!C31=0,"-","Put ล้วน"),'OI Data'!C31/'OI Data'!B31))</f>
        <v/>
      </c>
      <c r="E31" s="28" t="inlineStr">
        <is>
          <t>สรุปว่าควรใช้ไหม</t>
        </is>
      </c>
    </row>
    <row r="32" ht="43.5" customHeight="1" s="29">
      <c r="A32" s="7">
        <f>IF('OI Data'!A32="","",'OI Data'!A32)</f>
        <v/>
      </c>
      <c r="B32" s="8">
        <f>IF($A32="","",SUMPRODUCT(('OI Data'!$A$2:$A$201&lt;$A32)*($A32-'OI Data'!$A$2:$A$201)*'OI Data'!$B$2:$B$201)+SUMPRODUCT(('OI Data'!$A$2:$A$201&gt;$A32)*('OI Data'!$A$2:$A$201-$A32)*'OI Data'!$C$2:$C$201))</f>
        <v/>
      </c>
      <c r="C32" s="9">
        <f>IF($A32="","",IF('OI Data'!B32=0,IF('OI Data'!C32=0,"-","Put ล้วน"),'OI Data'!C32/'OI Data'!B32))</f>
        <v/>
      </c>
      <c r="E32" s="23" t="inlineStr">
        <is>
          <t>คำตอบ</t>
        </is>
      </c>
      <c r="F32" s="24">
        <f>IF(F8="","กรอกราคาปัจจุบันก่อน",IF(ABS(F8)&lt;F9,"ข้ามไป - อยู่โซนกลาง ไม่มี edge",IF(F15&gt;=5,"ระวัง - ก้นหุบแบน ใช้เป็นโซนเท่านั้น",IF(F21="ขัดแย้ง - ตรวจข้อมูลอีกครั้ง","ระวัง - P/C Ratio ขัดแย้งกับทิศทาง",IF(LEFT(F29,3)="ต่ำ","ระวัง - ข้อมูลอาจไม่ครบ ใช้ด้วยความระมัดระวัง","พอใช้เป็นข้อมูลประกอบได้ แต่ต้องมีเหตุผลทิศทางจากที่อื่น")))))</f>
        <v/>
      </c>
    </row>
    <row r="33" ht="21.75" customHeight="1" s="29">
      <c r="A33" s="7">
        <f>IF('OI Data'!A33="","",'OI Data'!A33)</f>
        <v/>
      </c>
      <c r="B33" s="8">
        <f>IF($A33="","",SUMPRODUCT(('OI Data'!$A$2:$A$201&lt;$A33)*($A33-'OI Data'!$A$2:$A$201)*'OI Data'!$B$2:$B$201)+SUMPRODUCT(('OI Data'!$A$2:$A$201&gt;$A33)*('OI Data'!$A$2:$A$201-$A33)*'OI Data'!$C$2:$C$201))</f>
        <v/>
      </c>
      <c r="C33" s="9">
        <f>IF($A33="","",IF('OI Data'!B33=0,IF('OI Data'!C33=0,"-","Put ล้วน"),'OI Data'!C33/'OI Data'!B33))</f>
        <v/>
      </c>
      <c r="E33" s="10" t="inlineStr">
        <is>
          <t>เตือนเรื่อง DTE</t>
        </is>
      </c>
      <c r="F33" s="18">
        <f>IF(NOT(ISNUMBER('OI Data'!F4)),"กรอก DTE ในชีท OI Data ด้วย",IF('OI Data'!F4&gt;7,"เกิน 1 สัปดาห์ - งานวิจัยไม่พบนัยสำคัญในช่วงนี้","อยู่ในสัปดาห์สุดท้าย - ช่วงที่งานวิจัยพบผล"))</f>
        <v/>
      </c>
    </row>
    <row r="34" ht="15" customHeight="1" s="29">
      <c r="A34" s="7">
        <f>IF('OI Data'!A34="","",'OI Data'!A34)</f>
        <v/>
      </c>
      <c r="B34" s="8">
        <f>IF($A34="","",SUMPRODUCT(('OI Data'!$A$2:$A$201&lt;$A34)*($A34-'OI Data'!$A$2:$A$201)*'OI Data'!$B$2:$B$201)+SUMPRODUCT(('OI Data'!$A$2:$A$201&gt;$A34)*('OI Data'!$A$2:$A$201-$A34)*'OI Data'!$C$2:$C$201))</f>
        <v/>
      </c>
      <c r="C34" s="9">
        <f>IF($A34="","",IF('OI Data'!B34=0,IF('OI Data'!C34=0,"-","Put ล้วน"),'OI Data'!C34/'OI Data'!B34))</f>
        <v/>
      </c>
    </row>
    <row r="35" ht="15" customHeight="1" s="29">
      <c r="A35" s="7">
        <f>IF('OI Data'!A35="","",'OI Data'!A35)</f>
        <v/>
      </c>
      <c r="B35" s="8">
        <f>IF($A35="","",SUMPRODUCT(('OI Data'!$A$2:$A$201&lt;$A35)*($A35-'OI Data'!$A$2:$A$201)*'OI Data'!$B$2:$B$201)+SUMPRODUCT(('OI Data'!$A$2:$A$201&gt;$A35)*('OI Data'!$A$2:$A$201-$A35)*'OI Data'!$C$2:$C$201))</f>
        <v/>
      </c>
      <c r="C35" s="9">
        <f>IF($A35="","",IF('OI Data'!B35=0,IF('OI Data'!C35=0,"-","Put ล้วน"),'OI Data'!C35/'OI Data'!B35))</f>
        <v/>
      </c>
    </row>
    <row r="36" ht="15" customHeight="1" s="29">
      <c r="A36" s="7">
        <f>IF('OI Data'!A36="","",'OI Data'!A36)</f>
        <v/>
      </c>
      <c r="B36" s="8">
        <f>IF($A36="","",SUMPRODUCT(('OI Data'!$A$2:$A$201&lt;$A36)*($A36-'OI Data'!$A$2:$A$201)*'OI Data'!$B$2:$B$201)+SUMPRODUCT(('OI Data'!$A$2:$A$201&gt;$A36)*('OI Data'!$A$2:$A$201-$A36)*'OI Data'!$C$2:$C$201))</f>
        <v/>
      </c>
      <c r="C36" s="9">
        <f>IF($A36="","",IF('OI Data'!B36=0,IF('OI Data'!C36=0,"-","Put ล้วน"),'OI Data'!C36/'OI Data'!B36))</f>
        <v/>
      </c>
    </row>
    <row r="37" ht="15" customHeight="1" s="29">
      <c r="A37" s="7">
        <f>IF('OI Data'!A37="","",'OI Data'!A37)</f>
        <v/>
      </c>
      <c r="B37" s="8">
        <f>IF($A37="","",SUMPRODUCT(('OI Data'!$A$2:$A$201&lt;$A37)*($A37-'OI Data'!$A$2:$A$201)*'OI Data'!$B$2:$B$201)+SUMPRODUCT(('OI Data'!$A$2:$A$201&gt;$A37)*('OI Data'!$A$2:$A$201-$A37)*'OI Data'!$C$2:$C$201))</f>
        <v/>
      </c>
      <c r="C37" s="9">
        <f>IF($A37="","",IF('OI Data'!B37=0,IF('OI Data'!C37=0,"-","Put ล้วน"),'OI Data'!C37/'OI Data'!B37))</f>
        <v/>
      </c>
    </row>
    <row r="38" ht="15" customHeight="1" s="29">
      <c r="A38" s="7">
        <f>IF('OI Data'!A38="","",'OI Data'!A38)</f>
        <v/>
      </c>
      <c r="B38" s="8">
        <f>IF($A38="","",SUMPRODUCT(('OI Data'!$A$2:$A$201&lt;$A38)*($A38-'OI Data'!$A$2:$A$201)*'OI Data'!$B$2:$B$201)+SUMPRODUCT(('OI Data'!$A$2:$A$201&gt;$A38)*('OI Data'!$A$2:$A$201-$A38)*'OI Data'!$C$2:$C$201))</f>
        <v/>
      </c>
      <c r="C38" s="9">
        <f>IF($A38="","",IF('OI Data'!B38=0,IF('OI Data'!C38=0,"-","Put ล้วน"),'OI Data'!C38/'OI Data'!B38))</f>
        <v/>
      </c>
    </row>
    <row r="39" ht="15" customHeight="1" s="29">
      <c r="A39" s="7">
        <f>IF('OI Data'!A39="","",'OI Data'!A39)</f>
        <v/>
      </c>
      <c r="B39" s="8">
        <f>IF($A39="","",SUMPRODUCT(('OI Data'!$A$2:$A$201&lt;$A39)*($A39-'OI Data'!$A$2:$A$201)*'OI Data'!$B$2:$B$201)+SUMPRODUCT(('OI Data'!$A$2:$A$201&gt;$A39)*('OI Data'!$A$2:$A$201-$A39)*'OI Data'!$C$2:$C$201))</f>
        <v/>
      </c>
      <c r="C39" s="9">
        <f>IF($A39="","",IF('OI Data'!B39=0,IF('OI Data'!C39=0,"-","Put ล้วน"),'OI Data'!C39/'OI Data'!B39))</f>
        <v/>
      </c>
    </row>
    <row r="40" ht="15" customHeight="1" s="29">
      <c r="A40" s="7">
        <f>IF('OI Data'!A40="","",'OI Data'!A40)</f>
        <v/>
      </c>
      <c r="B40" s="8">
        <f>IF($A40="","",SUMPRODUCT(('OI Data'!$A$2:$A$201&lt;$A40)*($A40-'OI Data'!$A$2:$A$201)*'OI Data'!$B$2:$B$201)+SUMPRODUCT(('OI Data'!$A$2:$A$201&gt;$A40)*('OI Data'!$A$2:$A$201-$A40)*'OI Data'!$C$2:$C$201))</f>
        <v/>
      </c>
      <c r="C40" s="9">
        <f>IF($A40="","",IF('OI Data'!B40=0,IF('OI Data'!C40=0,"-","Put ล้วน"),'OI Data'!C40/'OI Data'!B40))</f>
        <v/>
      </c>
    </row>
    <row r="41" ht="15" customHeight="1" s="29">
      <c r="A41" s="7">
        <f>IF('OI Data'!A41="","",'OI Data'!A41)</f>
        <v/>
      </c>
      <c r="B41" s="8">
        <f>IF($A41="","",SUMPRODUCT(('OI Data'!$A$2:$A$201&lt;$A41)*($A41-'OI Data'!$A$2:$A$201)*'OI Data'!$B$2:$B$201)+SUMPRODUCT(('OI Data'!$A$2:$A$201&gt;$A41)*('OI Data'!$A$2:$A$201-$A41)*'OI Data'!$C$2:$C$201))</f>
        <v/>
      </c>
      <c r="C41" s="9">
        <f>IF($A41="","",IF('OI Data'!B41=0,IF('OI Data'!C41=0,"-","Put ล้วน"),'OI Data'!C41/'OI Data'!B41))</f>
        <v/>
      </c>
    </row>
    <row r="42" ht="15" customHeight="1" s="29">
      <c r="A42" s="7">
        <f>IF('OI Data'!A42="","",'OI Data'!A42)</f>
        <v/>
      </c>
      <c r="B42" s="8">
        <f>IF($A42="","",SUMPRODUCT(('OI Data'!$A$2:$A$201&lt;$A42)*($A42-'OI Data'!$A$2:$A$201)*'OI Data'!$B$2:$B$201)+SUMPRODUCT(('OI Data'!$A$2:$A$201&gt;$A42)*('OI Data'!$A$2:$A$201-$A42)*'OI Data'!$C$2:$C$201))</f>
        <v/>
      </c>
      <c r="C42" s="9">
        <f>IF($A42="","",IF('OI Data'!B42=0,IF('OI Data'!C42=0,"-","Put ล้วน"),'OI Data'!C42/'OI Data'!B42))</f>
        <v/>
      </c>
    </row>
    <row r="43" ht="15" customHeight="1" s="29">
      <c r="A43" s="7">
        <f>IF('OI Data'!A43="","",'OI Data'!A43)</f>
        <v/>
      </c>
      <c r="B43" s="8">
        <f>IF($A43="","",SUMPRODUCT(('OI Data'!$A$2:$A$201&lt;$A43)*($A43-'OI Data'!$A$2:$A$201)*'OI Data'!$B$2:$B$201)+SUMPRODUCT(('OI Data'!$A$2:$A$201&gt;$A43)*('OI Data'!$A$2:$A$201-$A43)*'OI Data'!$C$2:$C$201))</f>
        <v/>
      </c>
      <c r="C43" s="9">
        <f>IF($A43="","",IF('OI Data'!B43=0,IF('OI Data'!C43=0,"-","Put ล้วน"),'OI Data'!C43/'OI Data'!B43))</f>
        <v/>
      </c>
    </row>
    <row r="44" ht="15" customHeight="1" s="29">
      <c r="A44" s="7">
        <f>IF('OI Data'!A44="","",'OI Data'!A44)</f>
        <v/>
      </c>
      <c r="B44" s="8">
        <f>IF($A44="","",SUMPRODUCT(('OI Data'!$A$2:$A$201&lt;$A44)*($A44-'OI Data'!$A$2:$A$201)*'OI Data'!$B$2:$B$201)+SUMPRODUCT(('OI Data'!$A$2:$A$201&gt;$A44)*('OI Data'!$A$2:$A$201-$A44)*'OI Data'!$C$2:$C$201))</f>
        <v/>
      </c>
      <c r="C44" s="9">
        <f>IF($A44="","",IF('OI Data'!B44=0,IF('OI Data'!C44=0,"-","Put ล้วน"),'OI Data'!C44/'OI Data'!B44))</f>
        <v/>
      </c>
    </row>
    <row r="45" ht="15" customHeight="1" s="29">
      <c r="A45" s="7">
        <f>IF('OI Data'!A45="","",'OI Data'!A45)</f>
        <v/>
      </c>
      <c r="B45" s="8">
        <f>IF($A45="","",SUMPRODUCT(('OI Data'!$A$2:$A$201&lt;$A45)*($A45-'OI Data'!$A$2:$A$201)*'OI Data'!$B$2:$B$201)+SUMPRODUCT(('OI Data'!$A$2:$A$201&gt;$A45)*('OI Data'!$A$2:$A$201-$A45)*'OI Data'!$C$2:$C$201))</f>
        <v/>
      </c>
      <c r="C45" s="9">
        <f>IF($A45="","",IF('OI Data'!B45=0,IF('OI Data'!C45=0,"-","Put ล้วน"),'OI Data'!C45/'OI Data'!B45))</f>
        <v/>
      </c>
    </row>
    <row r="46" ht="15" customHeight="1" s="29">
      <c r="A46" s="7">
        <f>IF('OI Data'!A46="","",'OI Data'!A46)</f>
        <v/>
      </c>
      <c r="B46" s="8">
        <f>IF($A46="","",SUMPRODUCT(('OI Data'!$A$2:$A$201&lt;$A46)*($A46-'OI Data'!$A$2:$A$201)*'OI Data'!$B$2:$B$201)+SUMPRODUCT(('OI Data'!$A$2:$A$201&gt;$A46)*('OI Data'!$A$2:$A$201-$A46)*'OI Data'!$C$2:$C$201))</f>
        <v/>
      </c>
      <c r="C46" s="9">
        <f>IF($A46="","",IF('OI Data'!B46=0,IF('OI Data'!C46=0,"-","Put ล้วน"),'OI Data'!C46/'OI Data'!B46))</f>
        <v/>
      </c>
    </row>
    <row r="47" ht="15" customHeight="1" s="29">
      <c r="A47" s="7">
        <f>IF('OI Data'!A47="","",'OI Data'!A47)</f>
        <v/>
      </c>
      <c r="B47" s="8">
        <f>IF($A47="","",SUMPRODUCT(('OI Data'!$A$2:$A$201&lt;$A47)*($A47-'OI Data'!$A$2:$A$201)*'OI Data'!$B$2:$B$201)+SUMPRODUCT(('OI Data'!$A$2:$A$201&gt;$A47)*('OI Data'!$A$2:$A$201-$A47)*'OI Data'!$C$2:$C$201))</f>
        <v/>
      </c>
      <c r="C47" s="9">
        <f>IF($A47="","",IF('OI Data'!B47=0,IF('OI Data'!C47=0,"-","Put ล้วน"),'OI Data'!C47/'OI Data'!B47))</f>
        <v/>
      </c>
    </row>
    <row r="48" ht="15" customHeight="1" s="29">
      <c r="A48" s="7">
        <f>IF('OI Data'!A48="","",'OI Data'!A48)</f>
        <v/>
      </c>
      <c r="B48" s="8">
        <f>IF($A48="","",SUMPRODUCT(('OI Data'!$A$2:$A$201&lt;$A48)*($A48-'OI Data'!$A$2:$A$201)*'OI Data'!$B$2:$B$201)+SUMPRODUCT(('OI Data'!$A$2:$A$201&gt;$A48)*('OI Data'!$A$2:$A$201-$A48)*'OI Data'!$C$2:$C$201))</f>
        <v/>
      </c>
      <c r="C48" s="9">
        <f>IF($A48="","",IF('OI Data'!B48=0,IF('OI Data'!C48=0,"-","Put ล้วน"),'OI Data'!C48/'OI Data'!B48))</f>
        <v/>
      </c>
    </row>
    <row r="49" ht="15" customHeight="1" s="29">
      <c r="A49" s="7">
        <f>IF('OI Data'!A49="","",'OI Data'!A49)</f>
        <v/>
      </c>
      <c r="B49" s="8">
        <f>IF($A49="","",SUMPRODUCT(('OI Data'!$A$2:$A$201&lt;$A49)*($A49-'OI Data'!$A$2:$A$201)*'OI Data'!$B$2:$B$201)+SUMPRODUCT(('OI Data'!$A$2:$A$201&gt;$A49)*('OI Data'!$A$2:$A$201-$A49)*'OI Data'!$C$2:$C$201))</f>
        <v/>
      </c>
      <c r="C49" s="9">
        <f>IF($A49="","",IF('OI Data'!B49=0,IF('OI Data'!C49=0,"-","Put ล้วน"),'OI Data'!C49/'OI Data'!B49))</f>
        <v/>
      </c>
    </row>
    <row r="50" ht="15" customHeight="1" s="29">
      <c r="A50" s="7">
        <f>IF('OI Data'!A50="","",'OI Data'!A50)</f>
        <v/>
      </c>
      <c r="B50" s="8">
        <f>IF($A50="","",SUMPRODUCT(('OI Data'!$A$2:$A$201&lt;$A50)*($A50-'OI Data'!$A$2:$A$201)*'OI Data'!$B$2:$B$201)+SUMPRODUCT(('OI Data'!$A$2:$A$201&gt;$A50)*('OI Data'!$A$2:$A$201-$A50)*'OI Data'!$C$2:$C$201))</f>
        <v/>
      </c>
      <c r="C50" s="9">
        <f>IF($A50="","",IF('OI Data'!B50=0,IF('OI Data'!C50=0,"-","Put ล้วน"),'OI Data'!C50/'OI Data'!B50))</f>
        <v/>
      </c>
    </row>
    <row r="51" ht="15" customHeight="1" s="29">
      <c r="A51" s="7">
        <f>IF('OI Data'!A51="","",'OI Data'!A51)</f>
        <v/>
      </c>
      <c r="B51" s="8">
        <f>IF($A51="","",SUMPRODUCT(('OI Data'!$A$2:$A$201&lt;$A51)*($A51-'OI Data'!$A$2:$A$201)*'OI Data'!$B$2:$B$201)+SUMPRODUCT(('OI Data'!$A$2:$A$201&gt;$A51)*('OI Data'!$A$2:$A$201-$A51)*'OI Data'!$C$2:$C$201))</f>
        <v/>
      </c>
      <c r="C51" s="9">
        <f>IF($A51="","",IF('OI Data'!B51=0,IF('OI Data'!C51=0,"-","Put ล้วน"),'OI Data'!C51/'OI Data'!B51))</f>
        <v/>
      </c>
    </row>
    <row r="52" ht="15" customHeight="1" s="29">
      <c r="A52" s="7">
        <f>IF('OI Data'!A52="","",'OI Data'!A52)</f>
        <v/>
      </c>
      <c r="B52" s="8">
        <f>IF($A52="","",SUMPRODUCT(('OI Data'!$A$2:$A$201&lt;$A52)*($A52-'OI Data'!$A$2:$A$201)*'OI Data'!$B$2:$B$201)+SUMPRODUCT(('OI Data'!$A$2:$A$201&gt;$A52)*('OI Data'!$A$2:$A$201-$A52)*'OI Data'!$C$2:$C$201))</f>
        <v/>
      </c>
      <c r="C52" s="9">
        <f>IF($A52="","",IF('OI Data'!B52=0,IF('OI Data'!C52=0,"-","Put ล้วน"),'OI Data'!C52/'OI Data'!B52))</f>
        <v/>
      </c>
    </row>
    <row r="53">
      <c r="A53" s="7">
        <f>IF('OI Data'!A53="","",'OI Data'!A53)</f>
        <v/>
      </c>
      <c r="B53" s="8">
        <f>IF($A53="","",SUMPRODUCT(('OI Data'!$A$2:$A$201&lt;$A53)*($A53-'OI Data'!$A$2:$A$201)*'OI Data'!$B$2:$B$201)+SUMPRODUCT(('OI Data'!$A$2:$A$201&gt;$A53)*('OI Data'!$A$2:$A$201-$A53)*'OI Data'!$C$2:$C$201))</f>
        <v/>
      </c>
      <c r="C53" s="9">
        <f>IF($A53="","",IF('OI Data'!B53=0,IF('OI Data'!C53=0,"-","Put ล้วน"),'OI Data'!C53/'OI Data'!B53))</f>
        <v/>
      </c>
    </row>
    <row r="54">
      <c r="A54" s="7">
        <f>IF('OI Data'!A54="","",'OI Data'!A54)</f>
        <v/>
      </c>
      <c r="B54" s="8">
        <f>IF($A54="","",SUMPRODUCT(('OI Data'!$A$2:$A$201&lt;$A54)*($A54-'OI Data'!$A$2:$A$201)*'OI Data'!$B$2:$B$201)+SUMPRODUCT(('OI Data'!$A$2:$A$201&gt;$A54)*('OI Data'!$A$2:$A$201-$A54)*'OI Data'!$C$2:$C$201))</f>
        <v/>
      </c>
      <c r="C54" s="9">
        <f>IF($A54="","",IF('OI Data'!B54=0,IF('OI Data'!C54=0,"-","Put ล้วน"),'OI Data'!C54/'OI Data'!B54))</f>
        <v/>
      </c>
    </row>
    <row r="55" ht="19.5" customHeight="1" s="29">
      <c r="A55" s="7">
        <f>IF('OI Data'!A55="","",'OI Data'!A55)</f>
        <v/>
      </c>
      <c r="B55" s="8">
        <f>IF($A55="","",SUMPRODUCT(('OI Data'!$A$2:$A$201&lt;$A55)*($A55-'OI Data'!$A$2:$A$201)*'OI Data'!$B$2:$B$201)+SUMPRODUCT(('OI Data'!$A$2:$A$201&gt;$A55)*('OI Data'!$A$2:$A$201-$A55)*'OI Data'!$C$2:$C$201))</f>
        <v/>
      </c>
      <c r="C55" s="9">
        <f>IF($A55="","",IF('OI Data'!B55=0,IF('OI Data'!C55=0,"-","Put ล้วน"),'OI Data'!C55/'OI Data'!B55))</f>
        <v/>
      </c>
    </row>
    <row r="56" ht="19.5" customHeight="1" s="29">
      <c r="A56" s="7">
        <f>IF('OI Data'!A56="","",'OI Data'!A56)</f>
        <v/>
      </c>
      <c r="B56" s="8">
        <f>IF($A56="","",SUMPRODUCT(('OI Data'!$A$2:$A$201&lt;$A56)*($A56-'OI Data'!$A$2:$A$201)*'OI Data'!$B$2:$B$201)+SUMPRODUCT(('OI Data'!$A$2:$A$201&gt;$A56)*('OI Data'!$A$2:$A$201-$A56)*'OI Data'!$C$2:$C$201))</f>
        <v/>
      </c>
      <c r="C56" s="9">
        <f>IF($A56="","",IF('OI Data'!B56=0,IF('OI Data'!C56=0,"-","Put ล้วน"),'OI Data'!C56/'OI Data'!B56))</f>
        <v/>
      </c>
    </row>
    <row r="57" ht="19.5" customHeight="1" s="29">
      <c r="A57" s="7">
        <f>IF('OI Data'!A57="","",'OI Data'!A57)</f>
        <v/>
      </c>
      <c r="B57" s="8">
        <f>IF($A57="","",SUMPRODUCT(('OI Data'!$A$2:$A$201&lt;$A57)*($A57-'OI Data'!$A$2:$A$201)*'OI Data'!$B$2:$B$201)+SUMPRODUCT(('OI Data'!$A$2:$A$201&gt;$A57)*('OI Data'!$A$2:$A$201-$A57)*'OI Data'!$C$2:$C$201))</f>
        <v/>
      </c>
      <c r="C57" s="9">
        <f>IF($A57="","",IF('OI Data'!B57=0,IF('OI Data'!C57=0,"-","Put ล้วน"),'OI Data'!C57/'OI Data'!B57))</f>
        <v/>
      </c>
    </row>
    <row r="58" ht="19.5" customHeight="1" s="29">
      <c r="A58" s="7">
        <f>IF('OI Data'!A58="","",'OI Data'!A58)</f>
        <v/>
      </c>
      <c r="B58" s="8">
        <f>IF($A58="","",SUMPRODUCT(('OI Data'!$A$2:$A$201&lt;$A58)*($A58-'OI Data'!$A$2:$A$201)*'OI Data'!$B$2:$B$201)+SUMPRODUCT(('OI Data'!$A$2:$A$201&gt;$A58)*('OI Data'!$A$2:$A$201-$A58)*'OI Data'!$C$2:$C$201))</f>
        <v/>
      </c>
      <c r="C58" s="9">
        <f>IF($A58="","",IF('OI Data'!B58=0,IF('OI Data'!C58=0,"-","Put ล้วน"),'OI Data'!C58/'OI Data'!B58))</f>
        <v/>
      </c>
    </row>
    <row r="59" ht="19.5" customHeight="1" s="29">
      <c r="A59" s="7">
        <f>IF('OI Data'!A59="","",'OI Data'!A59)</f>
        <v/>
      </c>
      <c r="B59" s="8">
        <f>IF($A59="","",SUMPRODUCT(('OI Data'!$A$2:$A$201&lt;$A59)*($A59-'OI Data'!$A$2:$A$201)*'OI Data'!$B$2:$B$201)+SUMPRODUCT(('OI Data'!$A$2:$A$201&gt;$A59)*('OI Data'!$A$2:$A$201-$A59)*'OI Data'!$C$2:$C$201))</f>
        <v/>
      </c>
      <c r="C59" s="9">
        <f>IF($A59="","",IF('OI Data'!B59=0,IF('OI Data'!C59=0,"-","Put ล้วน"),'OI Data'!C59/'OI Data'!B59))</f>
        <v/>
      </c>
    </row>
    <row r="60" ht="19.5" customHeight="1" s="29">
      <c r="A60" s="7">
        <f>IF('OI Data'!A60="","",'OI Data'!A60)</f>
        <v/>
      </c>
      <c r="B60" s="8">
        <f>IF($A60="","",SUMPRODUCT(('OI Data'!$A$2:$A$201&lt;$A60)*($A60-'OI Data'!$A$2:$A$201)*'OI Data'!$B$2:$B$201)+SUMPRODUCT(('OI Data'!$A$2:$A$201&gt;$A60)*('OI Data'!$A$2:$A$201-$A60)*'OI Data'!$C$2:$C$201))</f>
        <v/>
      </c>
      <c r="C60" s="9">
        <f>IF($A60="","",IF('OI Data'!B60=0,IF('OI Data'!C60=0,"-","Put ล้วน"),'OI Data'!C60/'OI Data'!B60))</f>
        <v/>
      </c>
    </row>
    <row r="61">
      <c r="A61" s="7">
        <f>IF('OI Data'!A61="","",'OI Data'!A61)</f>
        <v/>
      </c>
      <c r="B61" s="8">
        <f>IF($A61="","",SUMPRODUCT(('OI Data'!$A$2:$A$201&lt;$A61)*($A61-'OI Data'!$A$2:$A$201)*'OI Data'!$B$2:$B$201)+SUMPRODUCT(('OI Data'!$A$2:$A$201&gt;$A61)*('OI Data'!$A$2:$A$201-$A61)*'OI Data'!$C$2:$C$201))</f>
        <v/>
      </c>
      <c r="C61" s="9">
        <f>IF($A61="","",IF('OI Data'!B61=0,IF('OI Data'!C61=0,"-","Put ล้วน"),'OI Data'!C61/'OI Data'!B61))</f>
        <v/>
      </c>
    </row>
    <row r="62">
      <c r="A62" s="7">
        <f>IF('OI Data'!A62="","",'OI Data'!A62)</f>
        <v/>
      </c>
      <c r="B62" s="8">
        <f>IF($A62="","",SUMPRODUCT(('OI Data'!$A$2:$A$201&lt;$A62)*($A62-'OI Data'!$A$2:$A$201)*'OI Data'!$B$2:$B$201)+SUMPRODUCT(('OI Data'!$A$2:$A$201&gt;$A62)*('OI Data'!$A$2:$A$201-$A62)*'OI Data'!$C$2:$C$201))</f>
        <v/>
      </c>
      <c r="C62" s="9">
        <f>IF($A62="","",IF('OI Data'!B62=0,IF('OI Data'!C62=0,"-","Put ล้วน"),'OI Data'!C62/'OI Data'!B62))</f>
        <v/>
      </c>
    </row>
    <row r="63">
      <c r="A63" s="7">
        <f>IF('OI Data'!A63="","",'OI Data'!A63)</f>
        <v/>
      </c>
      <c r="B63" s="8">
        <f>IF($A63="","",SUMPRODUCT(('OI Data'!$A$2:$A$201&lt;$A63)*($A63-'OI Data'!$A$2:$A$201)*'OI Data'!$B$2:$B$201)+SUMPRODUCT(('OI Data'!$A$2:$A$201&gt;$A63)*('OI Data'!$A$2:$A$201-$A63)*'OI Data'!$C$2:$C$201))</f>
        <v/>
      </c>
      <c r="C63" s="9">
        <f>IF($A63="","",IF('OI Data'!B63=0,IF('OI Data'!C63=0,"-","Put ล้วน"),'OI Data'!C63/'OI Data'!B63))</f>
        <v/>
      </c>
    </row>
    <row r="64">
      <c r="A64" s="7">
        <f>IF('OI Data'!A64="","",'OI Data'!A64)</f>
        <v/>
      </c>
      <c r="B64" s="8">
        <f>IF($A64="","",SUMPRODUCT(('OI Data'!$A$2:$A$201&lt;$A64)*($A64-'OI Data'!$A$2:$A$201)*'OI Data'!$B$2:$B$201)+SUMPRODUCT(('OI Data'!$A$2:$A$201&gt;$A64)*('OI Data'!$A$2:$A$201-$A64)*'OI Data'!$C$2:$C$201))</f>
        <v/>
      </c>
      <c r="C64" s="9">
        <f>IF($A64="","",IF('OI Data'!B64=0,IF('OI Data'!C64=0,"-","Put ล้วน"),'OI Data'!C64/'OI Data'!B64))</f>
        <v/>
      </c>
    </row>
    <row r="65">
      <c r="A65" s="7">
        <f>IF('OI Data'!A65="","",'OI Data'!A65)</f>
        <v/>
      </c>
      <c r="B65" s="8">
        <f>IF($A65="","",SUMPRODUCT(('OI Data'!$A$2:$A$201&lt;$A65)*($A65-'OI Data'!$A$2:$A$201)*'OI Data'!$B$2:$B$201)+SUMPRODUCT(('OI Data'!$A$2:$A$201&gt;$A65)*('OI Data'!$A$2:$A$201-$A65)*'OI Data'!$C$2:$C$201))</f>
        <v/>
      </c>
      <c r="C65" s="9">
        <f>IF($A65="","",IF('OI Data'!B65=0,IF('OI Data'!C65=0,"-","Put ล้วน"),'OI Data'!C65/'OI Data'!B65))</f>
        <v/>
      </c>
    </row>
    <row r="66">
      <c r="A66" s="7">
        <f>IF('OI Data'!A66="","",'OI Data'!A66)</f>
        <v/>
      </c>
      <c r="B66" s="8">
        <f>IF($A66="","",SUMPRODUCT(('OI Data'!$A$2:$A$201&lt;$A66)*($A66-'OI Data'!$A$2:$A$201)*'OI Data'!$B$2:$B$201)+SUMPRODUCT(('OI Data'!$A$2:$A$201&gt;$A66)*('OI Data'!$A$2:$A$201-$A66)*'OI Data'!$C$2:$C$201))</f>
        <v/>
      </c>
      <c r="C66" s="9">
        <f>IF($A66="","",IF('OI Data'!B66=0,IF('OI Data'!C66=0,"-","Put ล้วน"),'OI Data'!C66/'OI Data'!B66))</f>
        <v/>
      </c>
    </row>
    <row r="67">
      <c r="A67" s="7">
        <f>IF('OI Data'!A67="","",'OI Data'!A67)</f>
        <v/>
      </c>
      <c r="B67" s="8">
        <f>IF($A67="","",SUMPRODUCT(('OI Data'!$A$2:$A$201&lt;$A67)*($A67-'OI Data'!$A$2:$A$201)*'OI Data'!$B$2:$B$201)+SUMPRODUCT(('OI Data'!$A$2:$A$201&gt;$A67)*('OI Data'!$A$2:$A$201-$A67)*'OI Data'!$C$2:$C$201))</f>
        <v/>
      </c>
      <c r="C67" s="9">
        <f>IF($A67="","",IF('OI Data'!B67=0,IF('OI Data'!C67=0,"-","Put ล้วน"),'OI Data'!C67/'OI Data'!B67))</f>
        <v/>
      </c>
    </row>
    <row r="68">
      <c r="A68" s="7">
        <f>IF('OI Data'!A68="","",'OI Data'!A68)</f>
        <v/>
      </c>
      <c r="B68" s="8">
        <f>IF($A68="","",SUMPRODUCT(('OI Data'!$A$2:$A$201&lt;$A68)*($A68-'OI Data'!$A$2:$A$201)*'OI Data'!$B$2:$B$201)+SUMPRODUCT(('OI Data'!$A$2:$A$201&gt;$A68)*('OI Data'!$A$2:$A$201-$A68)*'OI Data'!$C$2:$C$201))</f>
        <v/>
      </c>
      <c r="C68" s="9">
        <f>IF($A68="","",IF('OI Data'!B68=0,IF('OI Data'!C68=0,"-","Put ล้วน"),'OI Data'!C68/'OI Data'!B68))</f>
        <v/>
      </c>
    </row>
    <row r="69">
      <c r="A69" s="7">
        <f>IF('OI Data'!A69="","",'OI Data'!A69)</f>
        <v/>
      </c>
      <c r="B69" s="8">
        <f>IF($A69="","",SUMPRODUCT(('OI Data'!$A$2:$A$201&lt;$A69)*($A69-'OI Data'!$A$2:$A$201)*'OI Data'!$B$2:$B$201)+SUMPRODUCT(('OI Data'!$A$2:$A$201&gt;$A69)*('OI Data'!$A$2:$A$201-$A69)*'OI Data'!$C$2:$C$201))</f>
        <v/>
      </c>
      <c r="C69" s="9">
        <f>IF($A69="","",IF('OI Data'!B69=0,IF('OI Data'!C69=0,"-","Put ล้วน"),'OI Data'!C69/'OI Data'!B69))</f>
        <v/>
      </c>
    </row>
    <row r="70">
      <c r="A70" s="7">
        <f>IF('OI Data'!A70="","",'OI Data'!A70)</f>
        <v/>
      </c>
      <c r="B70" s="8">
        <f>IF($A70="","",SUMPRODUCT(('OI Data'!$A$2:$A$201&lt;$A70)*($A70-'OI Data'!$A$2:$A$201)*'OI Data'!$B$2:$B$201)+SUMPRODUCT(('OI Data'!$A$2:$A$201&gt;$A70)*('OI Data'!$A$2:$A$201-$A70)*'OI Data'!$C$2:$C$201))</f>
        <v/>
      </c>
      <c r="C70" s="9">
        <f>IF($A70="","",IF('OI Data'!B70=0,IF('OI Data'!C70=0,"-","Put ล้วน"),'OI Data'!C70/'OI Data'!B70))</f>
        <v/>
      </c>
    </row>
    <row r="71">
      <c r="A71" s="7">
        <f>IF('OI Data'!A71="","",'OI Data'!A71)</f>
        <v/>
      </c>
      <c r="B71" s="8">
        <f>IF($A71="","",SUMPRODUCT(('OI Data'!$A$2:$A$201&lt;$A71)*($A71-'OI Data'!$A$2:$A$201)*'OI Data'!$B$2:$B$201)+SUMPRODUCT(('OI Data'!$A$2:$A$201&gt;$A71)*('OI Data'!$A$2:$A$201-$A71)*'OI Data'!$C$2:$C$201))</f>
        <v/>
      </c>
      <c r="C71" s="9">
        <f>IF($A71="","",IF('OI Data'!B71=0,IF('OI Data'!C71=0,"-","Put ล้วน"),'OI Data'!C71/'OI Data'!B71))</f>
        <v/>
      </c>
    </row>
    <row r="72">
      <c r="A72" s="7">
        <f>IF('OI Data'!A72="","",'OI Data'!A72)</f>
        <v/>
      </c>
      <c r="B72" s="8">
        <f>IF($A72="","",SUMPRODUCT(('OI Data'!$A$2:$A$201&lt;$A72)*($A72-'OI Data'!$A$2:$A$201)*'OI Data'!$B$2:$B$201)+SUMPRODUCT(('OI Data'!$A$2:$A$201&gt;$A72)*('OI Data'!$A$2:$A$201-$A72)*'OI Data'!$C$2:$C$201))</f>
        <v/>
      </c>
      <c r="C72" s="9">
        <f>IF($A72="","",IF('OI Data'!B72=0,IF('OI Data'!C72=0,"-","Put ล้วน"),'OI Data'!C72/'OI Data'!B72))</f>
        <v/>
      </c>
    </row>
    <row r="73">
      <c r="A73" s="7">
        <f>IF('OI Data'!A73="","",'OI Data'!A73)</f>
        <v/>
      </c>
      <c r="B73" s="8">
        <f>IF($A73="","",SUMPRODUCT(('OI Data'!$A$2:$A$201&lt;$A73)*($A73-'OI Data'!$A$2:$A$201)*'OI Data'!$B$2:$B$201)+SUMPRODUCT(('OI Data'!$A$2:$A$201&gt;$A73)*('OI Data'!$A$2:$A$201-$A73)*'OI Data'!$C$2:$C$201))</f>
        <v/>
      </c>
      <c r="C73" s="9">
        <f>IF($A73="","",IF('OI Data'!B73=0,IF('OI Data'!C73=0,"-","Put ล้วน"),'OI Data'!C73/'OI Data'!B73))</f>
        <v/>
      </c>
    </row>
    <row r="74">
      <c r="A74" s="7">
        <f>IF('OI Data'!A74="","",'OI Data'!A74)</f>
        <v/>
      </c>
      <c r="B74" s="8">
        <f>IF($A74="","",SUMPRODUCT(('OI Data'!$A$2:$A$201&lt;$A74)*($A74-'OI Data'!$A$2:$A$201)*'OI Data'!$B$2:$B$201)+SUMPRODUCT(('OI Data'!$A$2:$A$201&gt;$A74)*('OI Data'!$A$2:$A$201-$A74)*'OI Data'!$C$2:$C$201))</f>
        <v/>
      </c>
      <c r="C74" s="9">
        <f>IF($A74="","",IF('OI Data'!B74=0,IF('OI Data'!C74=0,"-","Put ล้วน"),'OI Data'!C74/'OI Data'!B74))</f>
        <v/>
      </c>
    </row>
    <row r="75">
      <c r="A75" s="7">
        <f>IF('OI Data'!A75="","",'OI Data'!A75)</f>
        <v/>
      </c>
      <c r="B75" s="8">
        <f>IF($A75="","",SUMPRODUCT(('OI Data'!$A$2:$A$201&lt;$A75)*($A75-'OI Data'!$A$2:$A$201)*'OI Data'!$B$2:$B$201)+SUMPRODUCT(('OI Data'!$A$2:$A$201&gt;$A75)*('OI Data'!$A$2:$A$201-$A75)*'OI Data'!$C$2:$C$201))</f>
        <v/>
      </c>
      <c r="C75" s="9">
        <f>IF($A75="","",IF('OI Data'!B75=0,IF('OI Data'!C75=0,"-","Put ล้วน"),'OI Data'!C75/'OI Data'!B75))</f>
        <v/>
      </c>
    </row>
    <row r="76">
      <c r="A76" s="7">
        <f>IF('OI Data'!A76="","",'OI Data'!A76)</f>
        <v/>
      </c>
      <c r="B76" s="8">
        <f>IF($A76="","",SUMPRODUCT(('OI Data'!$A$2:$A$201&lt;$A76)*($A76-'OI Data'!$A$2:$A$201)*'OI Data'!$B$2:$B$201)+SUMPRODUCT(('OI Data'!$A$2:$A$201&gt;$A76)*('OI Data'!$A$2:$A$201-$A76)*'OI Data'!$C$2:$C$201))</f>
        <v/>
      </c>
      <c r="C76" s="9">
        <f>IF($A76="","",IF('OI Data'!B76=0,IF('OI Data'!C76=0,"-","Put ล้วน"),'OI Data'!C76/'OI Data'!B76))</f>
        <v/>
      </c>
    </row>
    <row r="77">
      <c r="A77" s="7">
        <f>IF('OI Data'!A77="","",'OI Data'!A77)</f>
        <v/>
      </c>
      <c r="B77" s="8">
        <f>IF($A77="","",SUMPRODUCT(('OI Data'!$A$2:$A$201&lt;$A77)*($A77-'OI Data'!$A$2:$A$201)*'OI Data'!$B$2:$B$201)+SUMPRODUCT(('OI Data'!$A$2:$A$201&gt;$A77)*('OI Data'!$A$2:$A$201-$A77)*'OI Data'!$C$2:$C$201))</f>
        <v/>
      </c>
      <c r="C77" s="9">
        <f>IF($A77="","",IF('OI Data'!B77=0,IF('OI Data'!C77=0,"-","Put ล้วน"),'OI Data'!C77/'OI Data'!B77))</f>
        <v/>
      </c>
    </row>
    <row r="78">
      <c r="A78" s="7">
        <f>IF('OI Data'!A78="","",'OI Data'!A78)</f>
        <v/>
      </c>
      <c r="B78" s="8">
        <f>IF($A78="","",SUMPRODUCT(('OI Data'!$A$2:$A$201&lt;$A78)*($A78-'OI Data'!$A$2:$A$201)*'OI Data'!$B$2:$B$201)+SUMPRODUCT(('OI Data'!$A$2:$A$201&gt;$A78)*('OI Data'!$A$2:$A$201-$A78)*'OI Data'!$C$2:$C$201))</f>
        <v/>
      </c>
      <c r="C78" s="9">
        <f>IF($A78="","",IF('OI Data'!B78=0,IF('OI Data'!C78=0,"-","Put ล้วน"),'OI Data'!C78/'OI Data'!B78))</f>
        <v/>
      </c>
    </row>
    <row r="79">
      <c r="A79" s="7">
        <f>IF('OI Data'!A79="","",'OI Data'!A79)</f>
        <v/>
      </c>
      <c r="B79" s="8">
        <f>IF($A79="","",SUMPRODUCT(('OI Data'!$A$2:$A$201&lt;$A79)*($A79-'OI Data'!$A$2:$A$201)*'OI Data'!$B$2:$B$201)+SUMPRODUCT(('OI Data'!$A$2:$A$201&gt;$A79)*('OI Data'!$A$2:$A$201-$A79)*'OI Data'!$C$2:$C$201))</f>
        <v/>
      </c>
      <c r="C79" s="9">
        <f>IF($A79="","",IF('OI Data'!B79=0,IF('OI Data'!C79=0,"-","Put ล้วน"),'OI Data'!C79/'OI Data'!B79))</f>
        <v/>
      </c>
    </row>
    <row r="80">
      <c r="A80" s="7">
        <f>IF('OI Data'!A80="","",'OI Data'!A80)</f>
        <v/>
      </c>
      <c r="B80" s="8">
        <f>IF($A80="","",SUMPRODUCT(('OI Data'!$A$2:$A$201&lt;$A80)*($A80-'OI Data'!$A$2:$A$201)*'OI Data'!$B$2:$B$201)+SUMPRODUCT(('OI Data'!$A$2:$A$201&gt;$A80)*('OI Data'!$A$2:$A$201-$A80)*'OI Data'!$C$2:$C$201))</f>
        <v/>
      </c>
      <c r="C80" s="9">
        <f>IF($A80="","",IF('OI Data'!B80=0,IF('OI Data'!C80=0,"-","Put ล้วน"),'OI Data'!C80/'OI Data'!B80))</f>
        <v/>
      </c>
    </row>
    <row r="81">
      <c r="A81" s="7">
        <f>IF('OI Data'!A81="","",'OI Data'!A81)</f>
        <v/>
      </c>
      <c r="B81" s="8">
        <f>IF($A81="","",SUMPRODUCT(('OI Data'!$A$2:$A$201&lt;$A81)*($A81-'OI Data'!$A$2:$A$201)*'OI Data'!$B$2:$B$201)+SUMPRODUCT(('OI Data'!$A$2:$A$201&gt;$A81)*('OI Data'!$A$2:$A$201-$A81)*'OI Data'!$C$2:$C$201))</f>
        <v/>
      </c>
      <c r="C81" s="9">
        <f>IF($A81="","",IF('OI Data'!B81=0,IF('OI Data'!C81=0,"-","Put ล้วน"),'OI Data'!C81/'OI Data'!B81))</f>
        <v/>
      </c>
    </row>
    <row r="82">
      <c r="A82" s="7">
        <f>IF('OI Data'!A82="","",'OI Data'!A82)</f>
        <v/>
      </c>
      <c r="B82" s="8">
        <f>IF($A82="","",SUMPRODUCT(('OI Data'!$A$2:$A$201&lt;$A82)*($A82-'OI Data'!$A$2:$A$201)*'OI Data'!$B$2:$B$201)+SUMPRODUCT(('OI Data'!$A$2:$A$201&gt;$A82)*('OI Data'!$A$2:$A$201-$A82)*'OI Data'!$C$2:$C$201))</f>
        <v/>
      </c>
      <c r="C82" s="9">
        <f>IF($A82="","",IF('OI Data'!B82=0,IF('OI Data'!C82=0,"-","Put ล้วน"),'OI Data'!C82/'OI Data'!B82))</f>
        <v/>
      </c>
    </row>
    <row r="83">
      <c r="A83" s="7">
        <f>IF('OI Data'!A83="","",'OI Data'!A83)</f>
        <v/>
      </c>
      <c r="B83" s="8">
        <f>IF($A83="","",SUMPRODUCT(('OI Data'!$A$2:$A$201&lt;$A83)*($A83-'OI Data'!$A$2:$A$201)*'OI Data'!$B$2:$B$201)+SUMPRODUCT(('OI Data'!$A$2:$A$201&gt;$A83)*('OI Data'!$A$2:$A$201-$A83)*'OI Data'!$C$2:$C$201))</f>
        <v/>
      </c>
      <c r="C83" s="9">
        <f>IF($A83="","",IF('OI Data'!B83=0,IF('OI Data'!C83=0,"-","Put ล้วน"),'OI Data'!C83/'OI Data'!B83))</f>
        <v/>
      </c>
    </row>
    <row r="84">
      <c r="A84" s="7">
        <f>IF('OI Data'!A84="","",'OI Data'!A84)</f>
        <v/>
      </c>
      <c r="B84" s="8">
        <f>IF($A84="","",SUMPRODUCT(('OI Data'!$A$2:$A$201&lt;$A84)*($A84-'OI Data'!$A$2:$A$201)*'OI Data'!$B$2:$B$201)+SUMPRODUCT(('OI Data'!$A$2:$A$201&gt;$A84)*('OI Data'!$A$2:$A$201-$A84)*'OI Data'!$C$2:$C$201))</f>
        <v/>
      </c>
      <c r="C84" s="9">
        <f>IF($A84="","",IF('OI Data'!B84=0,IF('OI Data'!C84=0,"-","Put ล้วน"),'OI Data'!C84/'OI Data'!B84))</f>
        <v/>
      </c>
    </row>
    <row r="85">
      <c r="A85" s="7">
        <f>IF('OI Data'!A85="","",'OI Data'!A85)</f>
        <v/>
      </c>
      <c r="B85" s="8">
        <f>IF($A85="","",SUMPRODUCT(('OI Data'!$A$2:$A$201&lt;$A85)*($A85-'OI Data'!$A$2:$A$201)*'OI Data'!$B$2:$B$201)+SUMPRODUCT(('OI Data'!$A$2:$A$201&gt;$A85)*('OI Data'!$A$2:$A$201-$A85)*'OI Data'!$C$2:$C$201))</f>
        <v/>
      </c>
      <c r="C85" s="9">
        <f>IF($A85="","",IF('OI Data'!B85=0,IF('OI Data'!C85=0,"-","Put ล้วน"),'OI Data'!C85/'OI Data'!B85))</f>
        <v/>
      </c>
    </row>
    <row r="86">
      <c r="A86" s="7">
        <f>IF('OI Data'!A86="","",'OI Data'!A86)</f>
        <v/>
      </c>
      <c r="B86" s="8">
        <f>IF($A86="","",SUMPRODUCT(('OI Data'!$A$2:$A$201&lt;$A86)*($A86-'OI Data'!$A$2:$A$201)*'OI Data'!$B$2:$B$201)+SUMPRODUCT(('OI Data'!$A$2:$A$201&gt;$A86)*('OI Data'!$A$2:$A$201-$A86)*'OI Data'!$C$2:$C$201))</f>
        <v/>
      </c>
      <c r="C86" s="9">
        <f>IF($A86="","",IF('OI Data'!B86=0,IF('OI Data'!C86=0,"-","Put ล้วน"),'OI Data'!C86/'OI Data'!B86))</f>
        <v/>
      </c>
    </row>
    <row r="87">
      <c r="A87" s="7">
        <f>IF('OI Data'!A87="","",'OI Data'!A87)</f>
        <v/>
      </c>
      <c r="B87" s="8">
        <f>IF($A87="","",SUMPRODUCT(('OI Data'!$A$2:$A$201&lt;$A87)*($A87-'OI Data'!$A$2:$A$201)*'OI Data'!$B$2:$B$201)+SUMPRODUCT(('OI Data'!$A$2:$A$201&gt;$A87)*('OI Data'!$A$2:$A$201-$A87)*'OI Data'!$C$2:$C$201))</f>
        <v/>
      </c>
      <c r="C87" s="9">
        <f>IF($A87="","",IF('OI Data'!B87=0,IF('OI Data'!C87=0,"-","Put ล้วน"),'OI Data'!C87/'OI Data'!B87))</f>
        <v/>
      </c>
    </row>
    <row r="88">
      <c r="A88" s="7">
        <f>IF('OI Data'!A88="","",'OI Data'!A88)</f>
        <v/>
      </c>
      <c r="B88" s="8">
        <f>IF($A88="","",SUMPRODUCT(('OI Data'!$A$2:$A$201&lt;$A88)*($A88-'OI Data'!$A$2:$A$201)*'OI Data'!$B$2:$B$201)+SUMPRODUCT(('OI Data'!$A$2:$A$201&gt;$A88)*('OI Data'!$A$2:$A$201-$A88)*'OI Data'!$C$2:$C$201))</f>
        <v/>
      </c>
      <c r="C88" s="9">
        <f>IF($A88="","",IF('OI Data'!B88=0,IF('OI Data'!C88=0,"-","Put ล้วน"),'OI Data'!C88/'OI Data'!B88))</f>
        <v/>
      </c>
    </row>
    <row r="89">
      <c r="A89" s="7">
        <f>IF('OI Data'!A89="","",'OI Data'!A89)</f>
        <v/>
      </c>
      <c r="B89" s="8">
        <f>IF($A89="","",SUMPRODUCT(('OI Data'!$A$2:$A$201&lt;$A89)*($A89-'OI Data'!$A$2:$A$201)*'OI Data'!$B$2:$B$201)+SUMPRODUCT(('OI Data'!$A$2:$A$201&gt;$A89)*('OI Data'!$A$2:$A$201-$A89)*'OI Data'!$C$2:$C$201))</f>
        <v/>
      </c>
      <c r="C89" s="9">
        <f>IF($A89="","",IF('OI Data'!B89=0,IF('OI Data'!C89=0,"-","Put ล้วน"),'OI Data'!C89/'OI Data'!B89))</f>
        <v/>
      </c>
    </row>
    <row r="90">
      <c r="A90" s="7">
        <f>IF('OI Data'!A90="","",'OI Data'!A90)</f>
        <v/>
      </c>
      <c r="B90" s="8">
        <f>IF($A90="","",SUMPRODUCT(('OI Data'!$A$2:$A$201&lt;$A90)*($A90-'OI Data'!$A$2:$A$201)*'OI Data'!$B$2:$B$201)+SUMPRODUCT(('OI Data'!$A$2:$A$201&gt;$A90)*('OI Data'!$A$2:$A$201-$A90)*'OI Data'!$C$2:$C$201))</f>
        <v/>
      </c>
      <c r="C90" s="9">
        <f>IF($A90="","",IF('OI Data'!B90=0,IF('OI Data'!C90=0,"-","Put ล้วน"),'OI Data'!C90/'OI Data'!B90))</f>
        <v/>
      </c>
    </row>
    <row r="91">
      <c r="A91" s="7">
        <f>IF('OI Data'!A91="","",'OI Data'!A91)</f>
        <v/>
      </c>
      <c r="B91" s="8">
        <f>IF($A91="","",SUMPRODUCT(('OI Data'!$A$2:$A$201&lt;$A91)*($A91-'OI Data'!$A$2:$A$201)*'OI Data'!$B$2:$B$201)+SUMPRODUCT(('OI Data'!$A$2:$A$201&gt;$A91)*('OI Data'!$A$2:$A$201-$A91)*'OI Data'!$C$2:$C$201))</f>
        <v/>
      </c>
      <c r="C91" s="9">
        <f>IF($A91="","",IF('OI Data'!B91=0,IF('OI Data'!C91=0,"-","Put ล้วน"),'OI Data'!C91/'OI Data'!B91))</f>
        <v/>
      </c>
    </row>
    <row r="92">
      <c r="A92" s="7">
        <f>IF('OI Data'!A92="","",'OI Data'!A92)</f>
        <v/>
      </c>
      <c r="B92" s="8">
        <f>IF($A92="","",SUMPRODUCT(('OI Data'!$A$2:$A$201&lt;$A92)*($A92-'OI Data'!$A$2:$A$201)*'OI Data'!$B$2:$B$201)+SUMPRODUCT(('OI Data'!$A$2:$A$201&gt;$A92)*('OI Data'!$A$2:$A$201-$A92)*'OI Data'!$C$2:$C$201))</f>
        <v/>
      </c>
      <c r="C92" s="9">
        <f>IF($A92="","",IF('OI Data'!B92=0,IF('OI Data'!C92=0,"-","Put ล้วน"),'OI Data'!C92/'OI Data'!B92))</f>
        <v/>
      </c>
    </row>
    <row r="93">
      <c r="A93" s="7">
        <f>IF('OI Data'!A93="","",'OI Data'!A93)</f>
        <v/>
      </c>
      <c r="B93" s="8">
        <f>IF($A93="","",SUMPRODUCT(('OI Data'!$A$2:$A$201&lt;$A93)*($A93-'OI Data'!$A$2:$A$201)*'OI Data'!$B$2:$B$201)+SUMPRODUCT(('OI Data'!$A$2:$A$201&gt;$A93)*('OI Data'!$A$2:$A$201-$A93)*'OI Data'!$C$2:$C$201))</f>
        <v/>
      </c>
      <c r="C93" s="9">
        <f>IF($A93="","",IF('OI Data'!B93=0,IF('OI Data'!C93=0,"-","Put ล้วน"),'OI Data'!C93/'OI Data'!B93))</f>
        <v/>
      </c>
    </row>
    <row r="94">
      <c r="A94" s="7">
        <f>IF('OI Data'!A94="","",'OI Data'!A94)</f>
        <v/>
      </c>
      <c r="B94" s="8">
        <f>IF($A94="","",SUMPRODUCT(('OI Data'!$A$2:$A$201&lt;$A94)*($A94-'OI Data'!$A$2:$A$201)*'OI Data'!$B$2:$B$201)+SUMPRODUCT(('OI Data'!$A$2:$A$201&gt;$A94)*('OI Data'!$A$2:$A$201-$A94)*'OI Data'!$C$2:$C$201))</f>
        <v/>
      </c>
      <c r="C94" s="9">
        <f>IF($A94="","",IF('OI Data'!B94=0,IF('OI Data'!C94=0,"-","Put ล้วน"),'OI Data'!C94/'OI Data'!B94))</f>
        <v/>
      </c>
    </row>
    <row r="95">
      <c r="A95" s="7">
        <f>IF('OI Data'!A95="","",'OI Data'!A95)</f>
        <v/>
      </c>
      <c r="B95" s="8">
        <f>IF($A95="","",SUMPRODUCT(('OI Data'!$A$2:$A$201&lt;$A95)*($A95-'OI Data'!$A$2:$A$201)*'OI Data'!$B$2:$B$201)+SUMPRODUCT(('OI Data'!$A$2:$A$201&gt;$A95)*('OI Data'!$A$2:$A$201-$A95)*'OI Data'!$C$2:$C$201))</f>
        <v/>
      </c>
      <c r="C95" s="9">
        <f>IF($A95="","",IF('OI Data'!B95=0,IF('OI Data'!C95=0,"-","Put ล้วน"),'OI Data'!C95/'OI Data'!B95))</f>
        <v/>
      </c>
    </row>
    <row r="96">
      <c r="A96" s="7">
        <f>IF('OI Data'!A96="","",'OI Data'!A96)</f>
        <v/>
      </c>
      <c r="B96" s="8">
        <f>IF($A96="","",SUMPRODUCT(('OI Data'!$A$2:$A$201&lt;$A96)*($A96-'OI Data'!$A$2:$A$201)*'OI Data'!$B$2:$B$201)+SUMPRODUCT(('OI Data'!$A$2:$A$201&gt;$A96)*('OI Data'!$A$2:$A$201-$A96)*'OI Data'!$C$2:$C$201))</f>
        <v/>
      </c>
      <c r="C96" s="9">
        <f>IF($A96="","",IF('OI Data'!B96=0,IF('OI Data'!C96=0,"-","Put ล้วน"),'OI Data'!C96/'OI Data'!B96))</f>
        <v/>
      </c>
    </row>
    <row r="97">
      <c r="A97" s="7">
        <f>IF('OI Data'!A97="","",'OI Data'!A97)</f>
        <v/>
      </c>
      <c r="B97" s="8">
        <f>IF($A97="","",SUMPRODUCT(('OI Data'!$A$2:$A$201&lt;$A97)*($A97-'OI Data'!$A$2:$A$201)*'OI Data'!$B$2:$B$201)+SUMPRODUCT(('OI Data'!$A$2:$A$201&gt;$A97)*('OI Data'!$A$2:$A$201-$A97)*'OI Data'!$C$2:$C$201))</f>
        <v/>
      </c>
      <c r="C97" s="9">
        <f>IF($A97="","",IF('OI Data'!B97=0,IF('OI Data'!C97=0,"-","Put ล้วน"),'OI Data'!C97/'OI Data'!B97))</f>
        <v/>
      </c>
    </row>
    <row r="98">
      <c r="A98" s="7">
        <f>IF('OI Data'!A98="","",'OI Data'!A98)</f>
        <v/>
      </c>
      <c r="B98" s="8">
        <f>IF($A98="","",SUMPRODUCT(('OI Data'!$A$2:$A$201&lt;$A98)*($A98-'OI Data'!$A$2:$A$201)*'OI Data'!$B$2:$B$201)+SUMPRODUCT(('OI Data'!$A$2:$A$201&gt;$A98)*('OI Data'!$A$2:$A$201-$A98)*'OI Data'!$C$2:$C$201))</f>
        <v/>
      </c>
      <c r="C98" s="9">
        <f>IF($A98="","",IF('OI Data'!B98=0,IF('OI Data'!C98=0,"-","Put ล้วน"),'OI Data'!C98/'OI Data'!B98))</f>
        <v/>
      </c>
    </row>
    <row r="99">
      <c r="A99" s="7">
        <f>IF('OI Data'!A99="","",'OI Data'!A99)</f>
        <v/>
      </c>
      <c r="B99" s="8">
        <f>IF($A99="","",SUMPRODUCT(('OI Data'!$A$2:$A$201&lt;$A99)*($A99-'OI Data'!$A$2:$A$201)*'OI Data'!$B$2:$B$201)+SUMPRODUCT(('OI Data'!$A$2:$A$201&gt;$A99)*('OI Data'!$A$2:$A$201-$A99)*'OI Data'!$C$2:$C$201))</f>
        <v/>
      </c>
      <c r="C99" s="9">
        <f>IF($A99="","",IF('OI Data'!B99=0,IF('OI Data'!C99=0,"-","Put ล้วน"),'OI Data'!C99/'OI Data'!B99))</f>
        <v/>
      </c>
    </row>
    <row r="100">
      <c r="A100" s="7">
        <f>IF('OI Data'!A100="","",'OI Data'!A100)</f>
        <v/>
      </c>
      <c r="B100" s="8">
        <f>IF($A100="","",SUMPRODUCT(('OI Data'!$A$2:$A$201&lt;$A100)*($A100-'OI Data'!$A$2:$A$201)*'OI Data'!$B$2:$B$201)+SUMPRODUCT(('OI Data'!$A$2:$A$201&gt;$A100)*('OI Data'!$A$2:$A$201-$A100)*'OI Data'!$C$2:$C$201))</f>
        <v/>
      </c>
      <c r="C100" s="9">
        <f>IF($A100="","",IF('OI Data'!B100=0,IF('OI Data'!C100=0,"-","Put ล้วน"),'OI Data'!C100/'OI Data'!B100))</f>
        <v/>
      </c>
    </row>
    <row r="101">
      <c r="A101" s="7">
        <f>IF('OI Data'!A101="","",'OI Data'!A101)</f>
        <v/>
      </c>
      <c r="B101" s="8">
        <f>IF($A101="","",SUMPRODUCT(('OI Data'!$A$2:$A$201&lt;$A101)*($A101-'OI Data'!$A$2:$A$201)*'OI Data'!$B$2:$B$201)+SUMPRODUCT(('OI Data'!$A$2:$A$201&gt;$A101)*('OI Data'!$A$2:$A$201-$A101)*'OI Data'!$C$2:$C$201))</f>
        <v/>
      </c>
      <c r="C101" s="9">
        <f>IF($A101="","",IF('OI Data'!B101=0,IF('OI Data'!C101=0,"-","Put ล้วน"),'OI Data'!C101/'OI Data'!B101))</f>
        <v/>
      </c>
    </row>
    <row r="102">
      <c r="A102" s="7">
        <f>IF('OI Data'!A102="","",'OI Data'!A102)</f>
        <v/>
      </c>
      <c r="B102" s="8">
        <f>IF($A102="","",SUMPRODUCT(('OI Data'!$A$2:$A$201&lt;$A102)*($A102-'OI Data'!$A$2:$A$201)*'OI Data'!$B$2:$B$201)+SUMPRODUCT(('OI Data'!$A$2:$A$201&gt;$A102)*('OI Data'!$A$2:$A$201-$A102)*'OI Data'!$C$2:$C$201))</f>
        <v/>
      </c>
      <c r="C102" s="9">
        <f>IF($A102="","",IF('OI Data'!B102=0,IF('OI Data'!C102=0,"-","Put ล้วน"),'OI Data'!C102/'OI Data'!B102))</f>
        <v/>
      </c>
    </row>
    <row r="103">
      <c r="A103" s="7">
        <f>IF('OI Data'!A103="","",'OI Data'!A103)</f>
        <v/>
      </c>
      <c r="B103" s="8">
        <f>IF($A103="","",SUMPRODUCT(('OI Data'!$A$2:$A$201&lt;$A103)*($A103-'OI Data'!$A$2:$A$201)*'OI Data'!$B$2:$B$201)+SUMPRODUCT(('OI Data'!$A$2:$A$201&gt;$A103)*('OI Data'!$A$2:$A$201-$A103)*'OI Data'!$C$2:$C$201))</f>
        <v/>
      </c>
      <c r="C103" s="9">
        <f>IF($A103="","",IF('OI Data'!B103=0,IF('OI Data'!C103=0,"-","Put ล้วน"),'OI Data'!C103/'OI Data'!B103))</f>
        <v/>
      </c>
    </row>
    <row r="104">
      <c r="A104" s="7">
        <f>IF('OI Data'!A104="","",'OI Data'!A104)</f>
        <v/>
      </c>
      <c r="B104" s="8">
        <f>IF($A104="","",SUMPRODUCT(('OI Data'!$A$2:$A$201&lt;$A104)*($A104-'OI Data'!$A$2:$A$201)*'OI Data'!$B$2:$B$201)+SUMPRODUCT(('OI Data'!$A$2:$A$201&gt;$A104)*('OI Data'!$A$2:$A$201-$A104)*'OI Data'!$C$2:$C$201))</f>
        <v/>
      </c>
      <c r="C104" s="9">
        <f>IF($A104="","",IF('OI Data'!B104=0,IF('OI Data'!C104=0,"-","Put ล้วน"),'OI Data'!C104/'OI Data'!B104))</f>
        <v/>
      </c>
    </row>
    <row r="105">
      <c r="A105" s="7">
        <f>IF('OI Data'!A105="","",'OI Data'!A105)</f>
        <v/>
      </c>
      <c r="B105" s="8">
        <f>IF($A105="","",SUMPRODUCT(('OI Data'!$A$2:$A$201&lt;$A105)*($A105-'OI Data'!$A$2:$A$201)*'OI Data'!$B$2:$B$201)+SUMPRODUCT(('OI Data'!$A$2:$A$201&gt;$A105)*('OI Data'!$A$2:$A$201-$A105)*'OI Data'!$C$2:$C$201))</f>
        <v/>
      </c>
      <c r="C105" s="9">
        <f>IF($A105="","",IF('OI Data'!B105=0,IF('OI Data'!C105=0,"-","Put ล้วน"),'OI Data'!C105/'OI Data'!B105))</f>
        <v/>
      </c>
    </row>
    <row r="106">
      <c r="A106" s="7">
        <f>IF('OI Data'!A106="","",'OI Data'!A106)</f>
        <v/>
      </c>
      <c r="B106" s="8">
        <f>IF($A106="","",SUMPRODUCT(('OI Data'!$A$2:$A$201&lt;$A106)*($A106-'OI Data'!$A$2:$A$201)*'OI Data'!$B$2:$B$201)+SUMPRODUCT(('OI Data'!$A$2:$A$201&gt;$A106)*('OI Data'!$A$2:$A$201-$A106)*'OI Data'!$C$2:$C$201))</f>
        <v/>
      </c>
      <c r="C106" s="9">
        <f>IF($A106="","",IF('OI Data'!B106=0,IF('OI Data'!C106=0,"-","Put ล้วน"),'OI Data'!C106/'OI Data'!B106))</f>
        <v/>
      </c>
    </row>
    <row r="107">
      <c r="A107" s="7">
        <f>IF('OI Data'!A107="","",'OI Data'!A107)</f>
        <v/>
      </c>
      <c r="B107" s="8">
        <f>IF($A107="","",SUMPRODUCT(('OI Data'!$A$2:$A$201&lt;$A107)*($A107-'OI Data'!$A$2:$A$201)*'OI Data'!$B$2:$B$201)+SUMPRODUCT(('OI Data'!$A$2:$A$201&gt;$A107)*('OI Data'!$A$2:$A$201-$A107)*'OI Data'!$C$2:$C$201))</f>
        <v/>
      </c>
      <c r="C107" s="9">
        <f>IF($A107="","",IF('OI Data'!B107=0,IF('OI Data'!C107=0,"-","Put ล้วน"),'OI Data'!C107/'OI Data'!B107))</f>
        <v/>
      </c>
    </row>
    <row r="108">
      <c r="A108" s="7">
        <f>IF('OI Data'!A108="","",'OI Data'!A108)</f>
        <v/>
      </c>
      <c r="B108" s="8">
        <f>IF($A108="","",SUMPRODUCT(('OI Data'!$A$2:$A$201&lt;$A108)*($A108-'OI Data'!$A$2:$A$201)*'OI Data'!$B$2:$B$201)+SUMPRODUCT(('OI Data'!$A$2:$A$201&gt;$A108)*('OI Data'!$A$2:$A$201-$A108)*'OI Data'!$C$2:$C$201))</f>
        <v/>
      </c>
      <c r="C108" s="9">
        <f>IF($A108="","",IF('OI Data'!B108=0,IF('OI Data'!C108=0,"-","Put ล้วน"),'OI Data'!C108/'OI Data'!B108))</f>
        <v/>
      </c>
    </row>
    <row r="109">
      <c r="A109" s="7">
        <f>IF('OI Data'!A109="","",'OI Data'!A109)</f>
        <v/>
      </c>
      <c r="B109" s="8">
        <f>IF($A109="","",SUMPRODUCT(('OI Data'!$A$2:$A$201&lt;$A109)*($A109-'OI Data'!$A$2:$A$201)*'OI Data'!$B$2:$B$201)+SUMPRODUCT(('OI Data'!$A$2:$A$201&gt;$A109)*('OI Data'!$A$2:$A$201-$A109)*'OI Data'!$C$2:$C$201))</f>
        <v/>
      </c>
      <c r="C109" s="9">
        <f>IF($A109="","",IF('OI Data'!B109=0,IF('OI Data'!C109=0,"-","Put ล้วน"),'OI Data'!C109/'OI Data'!B109))</f>
        <v/>
      </c>
    </row>
    <row r="110">
      <c r="A110" s="7">
        <f>IF('OI Data'!A110="","",'OI Data'!A110)</f>
        <v/>
      </c>
      <c r="B110" s="8">
        <f>IF($A110="","",SUMPRODUCT(('OI Data'!$A$2:$A$201&lt;$A110)*($A110-'OI Data'!$A$2:$A$201)*'OI Data'!$B$2:$B$201)+SUMPRODUCT(('OI Data'!$A$2:$A$201&gt;$A110)*('OI Data'!$A$2:$A$201-$A110)*'OI Data'!$C$2:$C$201))</f>
        <v/>
      </c>
      <c r="C110" s="9">
        <f>IF($A110="","",IF('OI Data'!B110=0,IF('OI Data'!C110=0,"-","Put ล้วน"),'OI Data'!C110/'OI Data'!B110))</f>
        <v/>
      </c>
    </row>
    <row r="111">
      <c r="A111" s="7">
        <f>IF('OI Data'!A111="","",'OI Data'!A111)</f>
        <v/>
      </c>
      <c r="B111" s="8">
        <f>IF($A111="","",SUMPRODUCT(('OI Data'!$A$2:$A$201&lt;$A111)*($A111-'OI Data'!$A$2:$A$201)*'OI Data'!$B$2:$B$201)+SUMPRODUCT(('OI Data'!$A$2:$A$201&gt;$A111)*('OI Data'!$A$2:$A$201-$A111)*'OI Data'!$C$2:$C$201))</f>
        <v/>
      </c>
      <c r="C111" s="9">
        <f>IF($A111="","",IF('OI Data'!B111=0,IF('OI Data'!C111=0,"-","Put ล้วน"),'OI Data'!C111/'OI Data'!B111))</f>
        <v/>
      </c>
    </row>
    <row r="112">
      <c r="A112" s="7">
        <f>IF('OI Data'!A112="","",'OI Data'!A112)</f>
        <v/>
      </c>
      <c r="B112" s="8">
        <f>IF($A112="","",SUMPRODUCT(('OI Data'!$A$2:$A$201&lt;$A112)*($A112-'OI Data'!$A$2:$A$201)*'OI Data'!$B$2:$B$201)+SUMPRODUCT(('OI Data'!$A$2:$A$201&gt;$A112)*('OI Data'!$A$2:$A$201-$A112)*'OI Data'!$C$2:$C$201))</f>
        <v/>
      </c>
      <c r="C112" s="9">
        <f>IF($A112="","",IF('OI Data'!B112=0,IF('OI Data'!C112=0,"-","Put ล้วน"),'OI Data'!C112/'OI Data'!B112))</f>
        <v/>
      </c>
    </row>
    <row r="113">
      <c r="A113" s="7">
        <f>IF('OI Data'!A113="","",'OI Data'!A113)</f>
        <v/>
      </c>
      <c r="B113" s="8">
        <f>IF($A113="","",SUMPRODUCT(('OI Data'!$A$2:$A$201&lt;$A113)*($A113-'OI Data'!$A$2:$A$201)*'OI Data'!$B$2:$B$201)+SUMPRODUCT(('OI Data'!$A$2:$A$201&gt;$A113)*('OI Data'!$A$2:$A$201-$A113)*'OI Data'!$C$2:$C$201))</f>
        <v/>
      </c>
      <c r="C113" s="9">
        <f>IF($A113="","",IF('OI Data'!B113=0,IF('OI Data'!C113=0,"-","Put ล้วน"),'OI Data'!C113/'OI Data'!B113))</f>
        <v/>
      </c>
    </row>
    <row r="114">
      <c r="A114" s="7">
        <f>IF('OI Data'!A114="","",'OI Data'!A114)</f>
        <v/>
      </c>
      <c r="B114" s="8">
        <f>IF($A114="","",SUMPRODUCT(('OI Data'!$A$2:$A$201&lt;$A114)*($A114-'OI Data'!$A$2:$A$201)*'OI Data'!$B$2:$B$201)+SUMPRODUCT(('OI Data'!$A$2:$A$201&gt;$A114)*('OI Data'!$A$2:$A$201-$A114)*'OI Data'!$C$2:$C$201))</f>
        <v/>
      </c>
      <c r="C114" s="9">
        <f>IF($A114="","",IF('OI Data'!B114=0,IF('OI Data'!C114=0,"-","Put ล้วน"),'OI Data'!C114/'OI Data'!B114))</f>
        <v/>
      </c>
    </row>
    <row r="115">
      <c r="A115" s="7">
        <f>IF('OI Data'!A115="","",'OI Data'!A115)</f>
        <v/>
      </c>
      <c r="B115" s="8">
        <f>IF($A115="","",SUMPRODUCT(('OI Data'!$A$2:$A$201&lt;$A115)*($A115-'OI Data'!$A$2:$A$201)*'OI Data'!$B$2:$B$201)+SUMPRODUCT(('OI Data'!$A$2:$A$201&gt;$A115)*('OI Data'!$A$2:$A$201-$A115)*'OI Data'!$C$2:$C$201))</f>
        <v/>
      </c>
      <c r="C115" s="9">
        <f>IF($A115="","",IF('OI Data'!B115=0,IF('OI Data'!C115=0,"-","Put ล้วน"),'OI Data'!C115/'OI Data'!B115))</f>
        <v/>
      </c>
    </row>
    <row r="116">
      <c r="A116" s="7">
        <f>IF('OI Data'!A116="","",'OI Data'!A116)</f>
        <v/>
      </c>
      <c r="B116" s="8">
        <f>IF($A116="","",SUMPRODUCT(('OI Data'!$A$2:$A$201&lt;$A116)*($A116-'OI Data'!$A$2:$A$201)*'OI Data'!$B$2:$B$201)+SUMPRODUCT(('OI Data'!$A$2:$A$201&gt;$A116)*('OI Data'!$A$2:$A$201-$A116)*'OI Data'!$C$2:$C$201))</f>
        <v/>
      </c>
      <c r="C116" s="9">
        <f>IF($A116="","",IF('OI Data'!B116=0,IF('OI Data'!C116=0,"-","Put ล้วน"),'OI Data'!C116/'OI Data'!B116))</f>
        <v/>
      </c>
    </row>
    <row r="117">
      <c r="A117" s="7">
        <f>IF('OI Data'!A117="","",'OI Data'!A117)</f>
        <v/>
      </c>
      <c r="B117" s="8">
        <f>IF($A117="","",SUMPRODUCT(('OI Data'!$A$2:$A$201&lt;$A117)*($A117-'OI Data'!$A$2:$A$201)*'OI Data'!$B$2:$B$201)+SUMPRODUCT(('OI Data'!$A$2:$A$201&gt;$A117)*('OI Data'!$A$2:$A$201-$A117)*'OI Data'!$C$2:$C$201))</f>
        <v/>
      </c>
      <c r="C117" s="9">
        <f>IF($A117="","",IF('OI Data'!B117=0,IF('OI Data'!C117=0,"-","Put ล้วน"),'OI Data'!C117/'OI Data'!B117))</f>
        <v/>
      </c>
    </row>
    <row r="118">
      <c r="A118" s="7">
        <f>IF('OI Data'!A118="","",'OI Data'!A118)</f>
        <v/>
      </c>
      <c r="B118" s="8">
        <f>IF($A118="","",SUMPRODUCT(('OI Data'!$A$2:$A$201&lt;$A118)*($A118-'OI Data'!$A$2:$A$201)*'OI Data'!$B$2:$B$201)+SUMPRODUCT(('OI Data'!$A$2:$A$201&gt;$A118)*('OI Data'!$A$2:$A$201-$A118)*'OI Data'!$C$2:$C$201))</f>
        <v/>
      </c>
      <c r="C118" s="9">
        <f>IF($A118="","",IF('OI Data'!B118=0,IF('OI Data'!C118=0,"-","Put ล้วน"),'OI Data'!C118/'OI Data'!B118))</f>
        <v/>
      </c>
    </row>
    <row r="119">
      <c r="A119" s="7">
        <f>IF('OI Data'!A119="","",'OI Data'!A119)</f>
        <v/>
      </c>
      <c r="B119" s="8">
        <f>IF($A119="","",SUMPRODUCT(('OI Data'!$A$2:$A$201&lt;$A119)*($A119-'OI Data'!$A$2:$A$201)*'OI Data'!$B$2:$B$201)+SUMPRODUCT(('OI Data'!$A$2:$A$201&gt;$A119)*('OI Data'!$A$2:$A$201-$A119)*'OI Data'!$C$2:$C$201))</f>
        <v/>
      </c>
      <c r="C119" s="9">
        <f>IF($A119="","",IF('OI Data'!B119=0,IF('OI Data'!C119=0,"-","Put ล้วน"),'OI Data'!C119/'OI Data'!B119))</f>
        <v/>
      </c>
    </row>
    <row r="120">
      <c r="A120" s="7">
        <f>IF('OI Data'!A120="","",'OI Data'!A120)</f>
        <v/>
      </c>
      <c r="B120" s="8">
        <f>IF($A120="","",SUMPRODUCT(('OI Data'!$A$2:$A$201&lt;$A120)*($A120-'OI Data'!$A$2:$A$201)*'OI Data'!$B$2:$B$201)+SUMPRODUCT(('OI Data'!$A$2:$A$201&gt;$A120)*('OI Data'!$A$2:$A$201-$A120)*'OI Data'!$C$2:$C$201))</f>
        <v/>
      </c>
      <c r="C120" s="9">
        <f>IF($A120="","",IF('OI Data'!B120=0,IF('OI Data'!C120=0,"-","Put ล้วน"),'OI Data'!C120/'OI Data'!B120))</f>
        <v/>
      </c>
    </row>
    <row r="121">
      <c r="A121" s="7">
        <f>IF('OI Data'!A121="","",'OI Data'!A121)</f>
        <v/>
      </c>
      <c r="B121" s="8">
        <f>IF($A121="","",SUMPRODUCT(('OI Data'!$A$2:$A$201&lt;$A121)*($A121-'OI Data'!$A$2:$A$201)*'OI Data'!$B$2:$B$201)+SUMPRODUCT(('OI Data'!$A$2:$A$201&gt;$A121)*('OI Data'!$A$2:$A$201-$A121)*'OI Data'!$C$2:$C$201))</f>
        <v/>
      </c>
      <c r="C121" s="9">
        <f>IF($A121="","",IF('OI Data'!B121=0,IF('OI Data'!C121=0,"-","Put ล้วน"),'OI Data'!C121/'OI Data'!B121))</f>
        <v/>
      </c>
    </row>
    <row r="122">
      <c r="A122" s="7">
        <f>IF('OI Data'!A122="","",'OI Data'!A122)</f>
        <v/>
      </c>
      <c r="B122" s="8">
        <f>IF($A122="","",SUMPRODUCT(('OI Data'!$A$2:$A$201&lt;$A122)*($A122-'OI Data'!$A$2:$A$201)*'OI Data'!$B$2:$B$201)+SUMPRODUCT(('OI Data'!$A$2:$A$201&gt;$A122)*('OI Data'!$A$2:$A$201-$A122)*'OI Data'!$C$2:$C$201))</f>
        <v/>
      </c>
      <c r="C122" s="9">
        <f>IF($A122="","",IF('OI Data'!B122=0,IF('OI Data'!C122=0,"-","Put ล้วน"),'OI Data'!C122/'OI Data'!B122))</f>
        <v/>
      </c>
    </row>
    <row r="123">
      <c r="A123" s="7">
        <f>IF('OI Data'!A123="","",'OI Data'!A123)</f>
        <v/>
      </c>
      <c r="B123" s="8">
        <f>IF($A123="","",SUMPRODUCT(('OI Data'!$A$2:$A$201&lt;$A123)*($A123-'OI Data'!$A$2:$A$201)*'OI Data'!$B$2:$B$201)+SUMPRODUCT(('OI Data'!$A$2:$A$201&gt;$A123)*('OI Data'!$A$2:$A$201-$A123)*'OI Data'!$C$2:$C$201))</f>
        <v/>
      </c>
      <c r="C123" s="9">
        <f>IF($A123="","",IF('OI Data'!B123=0,IF('OI Data'!C123=0,"-","Put ล้วน"),'OI Data'!C123/'OI Data'!B123))</f>
        <v/>
      </c>
    </row>
    <row r="124">
      <c r="A124" s="7">
        <f>IF('OI Data'!A124="","",'OI Data'!A124)</f>
        <v/>
      </c>
      <c r="B124" s="8">
        <f>IF($A124="","",SUMPRODUCT(('OI Data'!$A$2:$A$201&lt;$A124)*($A124-'OI Data'!$A$2:$A$201)*'OI Data'!$B$2:$B$201)+SUMPRODUCT(('OI Data'!$A$2:$A$201&gt;$A124)*('OI Data'!$A$2:$A$201-$A124)*'OI Data'!$C$2:$C$201))</f>
        <v/>
      </c>
      <c r="C124" s="9">
        <f>IF($A124="","",IF('OI Data'!B124=0,IF('OI Data'!C124=0,"-","Put ล้วน"),'OI Data'!C124/'OI Data'!B124))</f>
        <v/>
      </c>
    </row>
    <row r="125">
      <c r="A125" s="7">
        <f>IF('OI Data'!A125="","",'OI Data'!A125)</f>
        <v/>
      </c>
      <c r="B125" s="8">
        <f>IF($A125="","",SUMPRODUCT(('OI Data'!$A$2:$A$201&lt;$A125)*($A125-'OI Data'!$A$2:$A$201)*'OI Data'!$B$2:$B$201)+SUMPRODUCT(('OI Data'!$A$2:$A$201&gt;$A125)*('OI Data'!$A$2:$A$201-$A125)*'OI Data'!$C$2:$C$201))</f>
        <v/>
      </c>
      <c r="C125" s="9">
        <f>IF($A125="","",IF('OI Data'!B125=0,IF('OI Data'!C125=0,"-","Put ล้วน"),'OI Data'!C125/'OI Data'!B125))</f>
        <v/>
      </c>
    </row>
    <row r="126">
      <c r="A126" s="7">
        <f>IF('OI Data'!A126="","",'OI Data'!A126)</f>
        <v/>
      </c>
      <c r="B126" s="8">
        <f>IF($A126="","",SUMPRODUCT(('OI Data'!$A$2:$A$201&lt;$A126)*($A126-'OI Data'!$A$2:$A$201)*'OI Data'!$B$2:$B$201)+SUMPRODUCT(('OI Data'!$A$2:$A$201&gt;$A126)*('OI Data'!$A$2:$A$201-$A126)*'OI Data'!$C$2:$C$201))</f>
        <v/>
      </c>
      <c r="C126" s="9">
        <f>IF($A126="","",IF('OI Data'!B126=0,IF('OI Data'!C126=0,"-","Put ล้วน"),'OI Data'!C126/'OI Data'!B126))</f>
        <v/>
      </c>
    </row>
    <row r="127">
      <c r="A127" s="7">
        <f>IF('OI Data'!A127="","",'OI Data'!A127)</f>
        <v/>
      </c>
      <c r="B127" s="8">
        <f>IF($A127="","",SUMPRODUCT(('OI Data'!$A$2:$A$201&lt;$A127)*($A127-'OI Data'!$A$2:$A$201)*'OI Data'!$B$2:$B$201)+SUMPRODUCT(('OI Data'!$A$2:$A$201&gt;$A127)*('OI Data'!$A$2:$A$201-$A127)*'OI Data'!$C$2:$C$201))</f>
        <v/>
      </c>
      <c r="C127" s="9">
        <f>IF($A127="","",IF('OI Data'!B127=0,IF('OI Data'!C127=0,"-","Put ล้วน"),'OI Data'!C127/'OI Data'!B127))</f>
        <v/>
      </c>
    </row>
    <row r="128">
      <c r="A128" s="7">
        <f>IF('OI Data'!A128="","",'OI Data'!A128)</f>
        <v/>
      </c>
      <c r="B128" s="8">
        <f>IF($A128="","",SUMPRODUCT(('OI Data'!$A$2:$A$201&lt;$A128)*($A128-'OI Data'!$A$2:$A$201)*'OI Data'!$B$2:$B$201)+SUMPRODUCT(('OI Data'!$A$2:$A$201&gt;$A128)*('OI Data'!$A$2:$A$201-$A128)*'OI Data'!$C$2:$C$201))</f>
        <v/>
      </c>
      <c r="C128" s="9">
        <f>IF($A128="","",IF('OI Data'!B128=0,IF('OI Data'!C128=0,"-","Put ล้วน"),'OI Data'!C128/'OI Data'!B128))</f>
        <v/>
      </c>
    </row>
    <row r="129">
      <c r="A129" s="7">
        <f>IF('OI Data'!A129="","",'OI Data'!A129)</f>
        <v/>
      </c>
      <c r="B129" s="8">
        <f>IF($A129="","",SUMPRODUCT(('OI Data'!$A$2:$A$201&lt;$A129)*($A129-'OI Data'!$A$2:$A$201)*'OI Data'!$B$2:$B$201)+SUMPRODUCT(('OI Data'!$A$2:$A$201&gt;$A129)*('OI Data'!$A$2:$A$201-$A129)*'OI Data'!$C$2:$C$201))</f>
        <v/>
      </c>
      <c r="C129" s="9">
        <f>IF($A129="","",IF('OI Data'!B129=0,IF('OI Data'!C129=0,"-","Put ล้วน"),'OI Data'!C129/'OI Data'!B129))</f>
        <v/>
      </c>
    </row>
    <row r="130">
      <c r="A130" s="7">
        <f>IF('OI Data'!A130="","",'OI Data'!A130)</f>
        <v/>
      </c>
      <c r="B130" s="8">
        <f>IF($A130="","",SUMPRODUCT(('OI Data'!$A$2:$A$201&lt;$A130)*($A130-'OI Data'!$A$2:$A$201)*'OI Data'!$B$2:$B$201)+SUMPRODUCT(('OI Data'!$A$2:$A$201&gt;$A130)*('OI Data'!$A$2:$A$201-$A130)*'OI Data'!$C$2:$C$201))</f>
        <v/>
      </c>
      <c r="C130" s="9">
        <f>IF($A130="","",IF('OI Data'!B130=0,IF('OI Data'!C130=0,"-","Put ล้วน"),'OI Data'!C130/'OI Data'!B130))</f>
        <v/>
      </c>
    </row>
    <row r="131">
      <c r="A131" s="7">
        <f>IF('OI Data'!A131="","",'OI Data'!A131)</f>
        <v/>
      </c>
      <c r="B131" s="8">
        <f>IF($A131="","",SUMPRODUCT(('OI Data'!$A$2:$A$201&lt;$A131)*($A131-'OI Data'!$A$2:$A$201)*'OI Data'!$B$2:$B$201)+SUMPRODUCT(('OI Data'!$A$2:$A$201&gt;$A131)*('OI Data'!$A$2:$A$201-$A131)*'OI Data'!$C$2:$C$201))</f>
        <v/>
      </c>
      <c r="C131" s="9">
        <f>IF($A131="","",IF('OI Data'!B131=0,IF('OI Data'!C131=0,"-","Put ล้วน"),'OI Data'!C131/'OI Data'!B131))</f>
        <v/>
      </c>
    </row>
    <row r="132">
      <c r="A132" s="7">
        <f>IF('OI Data'!A132="","",'OI Data'!A132)</f>
        <v/>
      </c>
      <c r="B132" s="8">
        <f>IF($A132="","",SUMPRODUCT(('OI Data'!$A$2:$A$201&lt;$A132)*($A132-'OI Data'!$A$2:$A$201)*'OI Data'!$B$2:$B$201)+SUMPRODUCT(('OI Data'!$A$2:$A$201&gt;$A132)*('OI Data'!$A$2:$A$201-$A132)*'OI Data'!$C$2:$C$201))</f>
        <v/>
      </c>
      <c r="C132" s="9">
        <f>IF($A132="","",IF('OI Data'!B132=0,IF('OI Data'!C132=0,"-","Put ล้วน"),'OI Data'!C132/'OI Data'!B132))</f>
        <v/>
      </c>
    </row>
    <row r="133">
      <c r="A133" s="7">
        <f>IF('OI Data'!A133="","",'OI Data'!A133)</f>
        <v/>
      </c>
      <c r="B133" s="8">
        <f>IF($A133="","",SUMPRODUCT(('OI Data'!$A$2:$A$201&lt;$A133)*($A133-'OI Data'!$A$2:$A$201)*'OI Data'!$B$2:$B$201)+SUMPRODUCT(('OI Data'!$A$2:$A$201&gt;$A133)*('OI Data'!$A$2:$A$201-$A133)*'OI Data'!$C$2:$C$201))</f>
        <v/>
      </c>
      <c r="C133" s="9">
        <f>IF($A133="","",IF('OI Data'!B133=0,IF('OI Data'!C133=0,"-","Put ล้วน"),'OI Data'!C133/'OI Data'!B133))</f>
        <v/>
      </c>
    </row>
    <row r="134">
      <c r="A134" s="7">
        <f>IF('OI Data'!A134="","",'OI Data'!A134)</f>
        <v/>
      </c>
      <c r="B134" s="8">
        <f>IF($A134="","",SUMPRODUCT(('OI Data'!$A$2:$A$201&lt;$A134)*($A134-'OI Data'!$A$2:$A$201)*'OI Data'!$B$2:$B$201)+SUMPRODUCT(('OI Data'!$A$2:$A$201&gt;$A134)*('OI Data'!$A$2:$A$201-$A134)*'OI Data'!$C$2:$C$201))</f>
        <v/>
      </c>
      <c r="C134" s="9">
        <f>IF($A134="","",IF('OI Data'!B134=0,IF('OI Data'!C134=0,"-","Put ล้วน"),'OI Data'!C134/'OI Data'!B134))</f>
        <v/>
      </c>
    </row>
    <row r="135">
      <c r="A135" s="7">
        <f>IF('OI Data'!A135="","",'OI Data'!A135)</f>
        <v/>
      </c>
      <c r="B135" s="8">
        <f>IF($A135="","",SUMPRODUCT(('OI Data'!$A$2:$A$201&lt;$A135)*($A135-'OI Data'!$A$2:$A$201)*'OI Data'!$B$2:$B$201)+SUMPRODUCT(('OI Data'!$A$2:$A$201&gt;$A135)*('OI Data'!$A$2:$A$201-$A135)*'OI Data'!$C$2:$C$201))</f>
        <v/>
      </c>
      <c r="C135" s="9">
        <f>IF($A135="","",IF('OI Data'!B135=0,IF('OI Data'!C135=0,"-","Put ล้วน"),'OI Data'!C135/'OI Data'!B135))</f>
        <v/>
      </c>
    </row>
    <row r="136">
      <c r="A136" s="7">
        <f>IF('OI Data'!A136="","",'OI Data'!A136)</f>
        <v/>
      </c>
      <c r="B136" s="8">
        <f>IF($A136="","",SUMPRODUCT(('OI Data'!$A$2:$A$201&lt;$A136)*($A136-'OI Data'!$A$2:$A$201)*'OI Data'!$B$2:$B$201)+SUMPRODUCT(('OI Data'!$A$2:$A$201&gt;$A136)*('OI Data'!$A$2:$A$201-$A136)*'OI Data'!$C$2:$C$201))</f>
        <v/>
      </c>
      <c r="C136" s="9">
        <f>IF($A136="","",IF('OI Data'!B136=0,IF('OI Data'!C136=0,"-","Put ล้วน"),'OI Data'!C136/'OI Data'!B136))</f>
        <v/>
      </c>
    </row>
    <row r="137">
      <c r="A137" s="7">
        <f>IF('OI Data'!A137="","",'OI Data'!A137)</f>
        <v/>
      </c>
      <c r="B137" s="8">
        <f>IF($A137="","",SUMPRODUCT(('OI Data'!$A$2:$A$201&lt;$A137)*($A137-'OI Data'!$A$2:$A$201)*'OI Data'!$B$2:$B$201)+SUMPRODUCT(('OI Data'!$A$2:$A$201&gt;$A137)*('OI Data'!$A$2:$A$201-$A137)*'OI Data'!$C$2:$C$201))</f>
        <v/>
      </c>
      <c r="C137" s="9">
        <f>IF($A137="","",IF('OI Data'!B137=0,IF('OI Data'!C137=0,"-","Put ล้วน"),'OI Data'!C137/'OI Data'!B137))</f>
        <v/>
      </c>
    </row>
    <row r="138">
      <c r="A138" s="7">
        <f>IF('OI Data'!A138="","",'OI Data'!A138)</f>
        <v/>
      </c>
      <c r="B138" s="8">
        <f>IF($A138="","",SUMPRODUCT(('OI Data'!$A$2:$A$201&lt;$A138)*($A138-'OI Data'!$A$2:$A$201)*'OI Data'!$B$2:$B$201)+SUMPRODUCT(('OI Data'!$A$2:$A$201&gt;$A138)*('OI Data'!$A$2:$A$201-$A138)*'OI Data'!$C$2:$C$201))</f>
        <v/>
      </c>
      <c r="C138" s="9">
        <f>IF($A138="","",IF('OI Data'!B138=0,IF('OI Data'!C138=0,"-","Put ล้วน"),'OI Data'!C138/'OI Data'!B138))</f>
        <v/>
      </c>
    </row>
    <row r="139">
      <c r="A139" s="7">
        <f>IF('OI Data'!A139="","",'OI Data'!A139)</f>
        <v/>
      </c>
      <c r="B139" s="8">
        <f>IF($A139="","",SUMPRODUCT(('OI Data'!$A$2:$A$201&lt;$A139)*($A139-'OI Data'!$A$2:$A$201)*'OI Data'!$B$2:$B$201)+SUMPRODUCT(('OI Data'!$A$2:$A$201&gt;$A139)*('OI Data'!$A$2:$A$201-$A139)*'OI Data'!$C$2:$C$201))</f>
        <v/>
      </c>
      <c r="C139" s="9">
        <f>IF($A139="","",IF('OI Data'!B139=0,IF('OI Data'!C139=0,"-","Put ล้วน"),'OI Data'!C139/'OI Data'!B139))</f>
        <v/>
      </c>
    </row>
    <row r="140">
      <c r="A140" s="7">
        <f>IF('OI Data'!A140="","",'OI Data'!A140)</f>
        <v/>
      </c>
      <c r="B140" s="8">
        <f>IF($A140="","",SUMPRODUCT(('OI Data'!$A$2:$A$201&lt;$A140)*($A140-'OI Data'!$A$2:$A$201)*'OI Data'!$B$2:$B$201)+SUMPRODUCT(('OI Data'!$A$2:$A$201&gt;$A140)*('OI Data'!$A$2:$A$201-$A140)*'OI Data'!$C$2:$C$201))</f>
        <v/>
      </c>
      <c r="C140" s="9">
        <f>IF($A140="","",IF('OI Data'!B140=0,IF('OI Data'!C140=0,"-","Put ล้วน"),'OI Data'!C140/'OI Data'!B140))</f>
        <v/>
      </c>
    </row>
    <row r="141">
      <c r="A141" s="7">
        <f>IF('OI Data'!A141="","",'OI Data'!A141)</f>
        <v/>
      </c>
      <c r="B141" s="8">
        <f>IF($A141="","",SUMPRODUCT(('OI Data'!$A$2:$A$201&lt;$A141)*($A141-'OI Data'!$A$2:$A$201)*'OI Data'!$B$2:$B$201)+SUMPRODUCT(('OI Data'!$A$2:$A$201&gt;$A141)*('OI Data'!$A$2:$A$201-$A141)*'OI Data'!$C$2:$C$201))</f>
        <v/>
      </c>
      <c r="C141" s="9">
        <f>IF($A141="","",IF('OI Data'!B141=0,IF('OI Data'!C141=0,"-","Put ล้วน"),'OI Data'!C141/'OI Data'!B141))</f>
        <v/>
      </c>
    </row>
    <row r="142">
      <c r="A142" s="7">
        <f>IF('OI Data'!A142="","",'OI Data'!A142)</f>
        <v/>
      </c>
      <c r="B142" s="8">
        <f>IF($A142="","",SUMPRODUCT(('OI Data'!$A$2:$A$201&lt;$A142)*($A142-'OI Data'!$A$2:$A$201)*'OI Data'!$B$2:$B$201)+SUMPRODUCT(('OI Data'!$A$2:$A$201&gt;$A142)*('OI Data'!$A$2:$A$201-$A142)*'OI Data'!$C$2:$C$201))</f>
        <v/>
      </c>
      <c r="C142" s="9">
        <f>IF($A142="","",IF('OI Data'!B142=0,IF('OI Data'!C142=0,"-","Put ล้วน"),'OI Data'!C142/'OI Data'!B142))</f>
        <v/>
      </c>
    </row>
    <row r="143">
      <c r="A143" s="7">
        <f>IF('OI Data'!A143="","",'OI Data'!A143)</f>
        <v/>
      </c>
      <c r="B143" s="8">
        <f>IF($A143="","",SUMPRODUCT(('OI Data'!$A$2:$A$201&lt;$A143)*($A143-'OI Data'!$A$2:$A$201)*'OI Data'!$B$2:$B$201)+SUMPRODUCT(('OI Data'!$A$2:$A$201&gt;$A143)*('OI Data'!$A$2:$A$201-$A143)*'OI Data'!$C$2:$C$201))</f>
        <v/>
      </c>
      <c r="C143" s="9">
        <f>IF($A143="","",IF('OI Data'!B143=0,IF('OI Data'!C143=0,"-","Put ล้วน"),'OI Data'!C143/'OI Data'!B143))</f>
        <v/>
      </c>
    </row>
    <row r="144">
      <c r="A144" s="7">
        <f>IF('OI Data'!A144="","",'OI Data'!A144)</f>
        <v/>
      </c>
      <c r="B144" s="8">
        <f>IF($A144="","",SUMPRODUCT(('OI Data'!$A$2:$A$201&lt;$A144)*($A144-'OI Data'!$A$2:$A$201)*'OI Data'!$B$2:$B$201)+SUMPRODUCT(('OI Data'!$A$2:$A$201&gt;$A144)*('OI Data'!$A$2:$A$201-$A144)*'OI Data'!$C$2:$C$201))</f>
        <v/>
      </c>
      <c r="C144" s="9">
        <f>IF($A144="","",IF('OI Data'!B144=0,IF('OI Data'!C144=0,"-","Put ล้วน"),'OI Data'!C144/'OI Data'!B144))</f>
        <v/>
      </c>
    </row>
    <row r="145">
      <c r="A145" s="7">
        <f>IF('OI Data'!A145="","",'OI Data'!A145)</f>
        <v/>
      </c>
      <c r="B145" s="8">
        <f>IF($A145="","",SUMPRODUCT(('OI Data'!$A$2:$A$201&lt;$A145)*($A145-'OI Data'!$A$2:$A$201)*'OI Data'!$B$2:$B$201)+SUMPRODUCT(('OI Data'!$A$2:$A$201&gt;$A145)*('OI Data'!$A$2:$A$201-$A145)*'OI Data'!$C$2:$C$201))</f>
        <v/>
      </c>
      <c r="C145" s="9">
        <f>IF($A145="","",IF('OI Data'!B145=0,IF('OI Data'!C145=0,"-","Put ล้วน"),'OI Data'!C145/'OI Data'!B145))</f>
        <v/>
      </c>
    </row>
    <row r="146">
      <c r="A146" s="7">
        <f>IF('OI Data'!A146="","",'OI Data'!A146)</f>
        <v/>
      </c>
      <c r="B146" s="8">
        <f>IF($A146="","",SUMPRODUCT(('OI Data'!$A$2:$A$201&lt;$A146)*($A146-'OI Data'!$A$2:$A$201)*'OI Data'!$B$2:$B$201)+SUMPRODUCT(('OI Data'!$A$2:$A$201&gt;$A146)*('OI Data'!$A$2:$A$201-$A146)*'OI Data'!$C$2:$C$201))</f>
        <v/>
      </c>
      <c r="C146" s="9">
        <f>IF($A146="","",IF('OI Data'!B146=0,IF('OI Data'!C146=0,"-","Put ล้วน"),'OI Data'!C146/'OI Data'!B146))</f>
        <v/>
      </c>
    </row>
    <row r="147">
      <c r="A147" s="7">
        <f>IF('OI Data'!A147="","",'OI Data'!A147)</f>
        <v/>
      </c>
      <c r="B147" s="8">
        <f>IF($A147="","",SUMPRODUCT(('OI Data'!$A$2:$A$201&lt;$A147)*($A147-'OI Data'!$A$2:$A$201)*'OI Data'!$B$2:$B$201)+SUMPRODUCT(('OI Data'!$A$2:$A$201&gt;$A147)*('OI Data'!$A$2:$A$201-$A147)*'OI Data'!$C$2:$C$201))</f>
        <v/>
      </c>
      <c r="C147" s="9">
        <f>IF($A147="","",IF('OI Data'!B147=0,IF('OI Data'!C147=0,"-","Put ล้วน"),'OI Data'!C147/'OI Data'!B147))</f>
        <v/>
      </c>
    </row>
    <row r="148">
      <c r="A148" s="7">
        <f>IF('OI Data'!A148="","",'OI Data'!A148)</f>
        <v/>
      </c>
      <c r="B148" s="8">
        <f>IF($A148="","",SUMPRODUCT(('OI Data'!$A$2:$A$201&lt;$A148)*($A148-'OI Data'!$A$2:$A$201)*'OI Data'!$B$2:$B$201)+SUMPRODUCT(('OI Data'!$A$2:$A$201&gt;$A148)*('OI Data'!$A$2:$A$201-$A148)*'OI Data'!$C$2:$C$201))</f>
        <v/>
      </c>
      <c r="C148" s="9">
        <f>IF($A148="","",IF('OI Data'!B148=0,IF('OI Data'!C148=0,"-","Put ล้วน"),'OI Data'!C148/'OI Data'!B148))</f>
        <v/>
      </c>
    </row>
    <row r="149">
      <c r="A149" s="7">
        <f>IF('OI Data'!A149="","",'OI Data'!A149)</f>
        <v/>
      </c>
      <c r="B149" s="8">
        <f>IF($A149="","",SUMPRODUCT(('OI Data'!$A$2:$A$201&lt;$A149)*($A149-'OI Data'!$A$2:$A$201)*'OI Data'!$B$2:$B$201)+SUMPRODUCT(('OI Data'!$A$2:$A$201&gt;$A149)*('OI Data'!$A$2:$A$201-$A149)*'OI Data'!$C$2:$C$201))</f>
        <v/>
      </c>
      <c r="C149" s="9">
        <f>IF($A149="","",IF('OI Data'!B149=0,IF('OI Data'!C149=0,"-","Put ล้วน"),'OI Data'!C149/'OI Data'!B149))</f>
        <v/>
      </c>
    </row>
    <row r="150">
      <c r="A150" s="7">
        <f>IF('OI Data'!A150="","",'OI Data'!A150)</f>
        <v/>
      </c>
      <c r="B150" s="8">
        <f>IF($A150="","",SUMPRODUCT(('OI Data'!$A$2:$A$201&lt;$A150)*($A150-'OI Data'!$A$2:$A$201)*'OI Data'!$B$2:$B$201)+SUMPRODUCT(('OI Data'!$A$2:$A$201&gt;$A150)*('OI Data'!$A$2:$A$201-$A150)*'OI Data'!$C$2:$C$201))</f>
        <v/>
      </c>
      <c r="C150" s="9">
        <f>IF($A150="","",IF('OI Data'!B150=0,IF('OI Data'!C150=0,"-","Put ล้วน"),'OI Data'!C150/'OI Data'!B150))</f>
        <v/>
      </c>
    </row>
    <row r="151">
      <c r="A151" s="7">
        <f>IF('OI Data'!A151="","",'OI Data'!A151)</f>
        <v/>
      </c>
      <c r="B151" s="8">
        <f>IF($A151="","",SUMPRODUCT(('OI Data'!$A$2:$A$201&lt;$A151)*($A151-'OI Data'!$A$2:$A$201)*'OI Data'!$B$2:$B$201)+SUMPRODUCT(('OI Data'!$A$2:$A$201&gt;$A151)*('OI Data'!$A$2:$A$201-$A151)*'OI Data'!$C$2:$C$201))</f>
        <v/>
      </c>
      <c r="C151" s="9">
        <f>IF($A151="","",IF('OI Data'!B151=0,IF('OI Data'!C151=0,"-","Put ล้วน"),'OI Data'!C151/'OI Data'!B151))</f>
        <v/>
      </c>
    </row>
    <row r="152">
      <c r="A152" s="7">
        <f>IF('OI Data'!A152="","",'OI Data'!A152)</f>
        <v/>
      </c>
      <c r="B152" s="8">
        <f>IF($A152="","",SUMPRODUCT(('OI Data'!$A$2:$A$201&lt;$A152)*($A152-'OI Data'!$A$2:$A$201)*'OI Data'!$B$2:$B$201)+SUMPRODUCT(('OI Data'!$A$2:$A$201&gt;$A152)*('OI Data'!$A$2:$A$201-$A152)*'OI Data'!$C$2:$C$201))</f>
        <v/>
      </c>
      <c r="C152" s="9">
        <f>IF($A152="","",IF('OI Data'!B152=0,IF('OI Data'!C152=0,"-","Put ล้วน"),'OI Data'!C152/'OI Data'!B152))</f>
        <v/>
      </c>
    </row>
    <row r="153">
      <c r="A153" s="7">
        <f>IF('OI Data'!A153="","",'OI Data'!A153)</f>
        <v/>
      </c>
      <c r="B153" s="8">
        <f>IF($A153="","",SUMPRODUCT(('OI Data'!$A$2:$A$201&lt;$A153)*($A153-'OI Data'!$A$2:$A$201)*'OI Data'!$B$2:$B$201)+SUMPRODUCT(('OI Data'!$A$2:$A$201&gt;$A153)*('OI Data'!$A$2:$A$201-$A153)*'OI Data'!$C$2:$C$201))</f>
        <v/>
      </c>
      <c r="C153" s="9">
        <f>IF($A153="","",IF('OI Data'!B153=0,IF('OI Data'!C153=0,"-","Put ล้วน"),'OI Data'!C153/'OI Data'!B153))</f>
        <v/>
      </c>
    </row>
    <row r="154">
      <c r="A154" s="7">
        <f>IF('OI Data'!A154="","",'OI Data'!A154)</f>
        <v/>
      </c>
      <c r="B154" s="8">
        <f>IF($A154="","",SUMPRODUCT(('OI Data'!$A$2:$A$201&lt;$A154)*($A154-'OI Data'!$A$2:$A$201)*'OI Data'!$B$2:$B$201)+SUMPRODUCT(('OI Data'!$A$2:$A$201&gt;$A154)*('OI Data'!$A$2:$A$201-$A154)*'OI Data'!$C$2:$C$201))</f>
        <v/>
      </c>
      <c r="C154" s="9">
        <f>IF($A154="","",IF('OI Data'!B154=0,IF('OI Data'!C154=0,"-","Put ล้วน"),'OI Data'!C154/'OI Data'!B154))</f>
        <v/>
      </c>
    </row>
    <row r="155">
      <c r="A155" s="7">
        <f>IF('OI Data'!A155="","",'OI Data'!A155)</f>
        <v/>
      </c>
      <c r="B155" s="8">
        <f>IF($A155="","",SUMPRODUCT(('OI Data'!$A$2:$A$201&lt;$A155)*($A155-'OI Data'!$A$2:$A$201)*'OI Data'!$B$2:$B$201)+SUMPRODUCT(('OI Data'!$A$2:$A$201&gt;$A155)*('OI Data'!$A$2:$A$201-$A155)*'OI Data'!$C$2:$C$201))</f>
        <v/>
      </c>
      <c r="C155" s="9">
        <f>IF($A155="","",IF('OI Data'!B155=0,IF('OI Data'!C155=0,"-","Put ล้วน"),'OI Data'!C155/'OI Data'!B155))</f>
        <v/>
      </c>
    </row>
    <row r="156">
      <c r="A156" s="7">
        <f>IF('OI Data'!A156="","",'OI Data'!A156)</f>
        <v/>
      </c>
      <c r="B156" s="8">
        <f>IF($A156="","",SUMPRODUCT(('OI Data'!$A$2:$A$201&lt;$A156)*($A156-'OI Data'!$A$2:$A$201)*'OI Data'!$B$2:$B$201)+SUMPRODUCT(('OI Data'!$A$2:$A$201&gt;$A156)*('OI Data'!$A$2:$A$201-$A156)*'OI Data'!$C$2:$C$201))</f>
        <v/>
      </c>
      <c r="C156" s="9">
        <f>IF($A156="","",IF('OI Data'!B156=0,IF('OI Data'!C156=0,"-","Put ล้วน"),'OI Data'!C156/'OI Data'!B156))</f>
        <v/>
      </c>
    </row>
    <row r="157">
      <c r="A157" s="7">
        <f>IF('OI Data'!A157="","",'OI Data'!A157)</f>
        <v/>
      </c>
      <c r="B157" s="8">
        <f>IF($A157="","",SUMPRODUCT(('OI Data'!$A$2:$A$201&lt;$A157)*($A157-'OI Data'!$A$2:$A$201)*'OI Data'!$B$2:$B$201)+SUMPRODUCT(('OI Data'!$A$2:$A$201&gt;$A157)*('OI Data'!$A$2:$A$201-$A157)*'OI Data'!$C$2:$C$201))</f>
        <v/>
      </c>
      <c r="C157" s="9">
        <f>IF($A157="","",IF('OI Data'!B157=0,IF('OI Data'!C157=0,"-","Put ล้วน"),'OI Data'!C157/'OI Data'!B157))</f>
        <v/>
      </c>
    </row>
    <row r="158">
      <c r="A158" s="7">
        <f>IF('OI Data'!A158="","",'OI Data'!A158)</f>
        <v/>
      </c>
      <c r="B158" s="8">
        <f>IF($A158="","",SUMPRODUCT(('OI Data'!$A$2:$A$201&lt;$A158)*($A158-'OI Data'!$A$2:$A$201)*'OI Data'!$B$2:$B$201)+SUMPRODUCT(('OI Data'!$A$2:$A$201&gt;$A158)*('OI Data'!$A$2:$A$201-$A158)*'OI Data'!$C$2:$C$201))</f>
        <v/>
      </c>
      <c r="C158" s="9">
        <f>IF($A158="","",IF('OI Data'!B158=0,IF('OI Data'!C158=0,"-","Put ล้วน"),'OI Data'!C158/'OI Data'!B158))</f>
        <v/>
      </c>
    </row>
    <row r="159">
      <c r="A159" s="7">
        <f>IF('OI Data'!A159="","",'OI Data'!A159)</f>
        <v/>
      </c>
      <c r="B159" s="8">
        <f>IF($A159="","",SUMPRODUCT(('OI Data'!$A$2:$A$201&lt;$A159)*($A159-'OI Data'!$A$2:$A$201)*'OI Data'!$B$2:$B$201)+SUMPRODUCT(('OI Data'!$A$2:$A$201&gt;$A159)*('OI Data'!$A$2:$A$201-$A159)*'OI Data'!$C$2:$C$201))</f>
        <v/>
      </c>
      <c r="C159" s="9">
        <f>IF($A159="","",IF('OI Data'!B159=0,IF('OI Data'!C159=0,"-","Put ล้วน"),'OI Data'!C159/'OI Data'!B159))</f>
        <v/>
      </c>
    </row>
    <row r="160">
      <c r="A160" s="7">
        <f>IF('OI Data'!A160="","",'OI Data'!A160)</f>
        <v/>
      </c>
      <c r="B160" s="8">
        <f>IF($A160="","",SUMPRODUCT(('OI Data'!$A$2:$A$201&lt;$A160)*($A160-'OI Data'!$A$2:$A$201)*'OI Data'!$B$2:$B$201)+SUMPRODUCT(('OI Data'!$A$2:$A$201&gt;$A160)*('OI Data'!$A$2:$A$201-$A160)*'OI Data'!$C$2:$C$201))</f>
        <v/>
      </c>
      <c r="C160" s="9">
        <f>IF($A160="","",IF('OI Data'!B160=0,IF('OI Data'!C160=0,"-","Put ล้วน"),'OI Data'!C160/'OI Data'!B160))</f>
        <v/>
      </c>
    </row>
    <row r="161">
      <c r="A161" s="7">
        <f>IF('OI Data'!A161="","",'OI Data'!A161)</f>
        <v/>
      </c>
      <c r="B161" s="8">
        <f>IF($A161="","",SUMPRODUCT(('OI Data'!$A$2:$A$201&lt;$A161)*($A161-'OI Data'!$A$2:$A$201)*'OI Data'!$B$2:$B$201)+SUMPRODUCT(('OI Data'!$A$2:$A$201&gt;$A161)*('OI Data'!$A$2:$A$201-$A161)*'OI Data'!$C$2:$C$201))</f>
        <v/>
      </c>
      <c r="C161" s="9">
        <f>IF($A161="","",IF('OI Data'!B161=0,IF('OI Data'!C161=0,"-","Put ล้วน"),'OI Data'!C161/'OI Data'!B161))</f>
        <v/>
      </c>
    </row>
    <row r="162">
      <c r="A162" s="7">
        <f>IF('OI Data'!A162="","",'OI Data'!A162)</f>
        <v/>
      </c>
      <c r="B162" s="8">
        <f>IF($A162="","",SUMPRODUCT(('OI Data'!$A$2:$A$201&lt;$A162)*($A162-'OI Data'!$A$2:$A$201)*'OI Data'!$B$2:$B$201)+SUMPRODUCT(('OI Data'!$A$2:$A$201&gt;$A162)*('OI Data'!$A$2:$A$201-$A162)*'OI Data'!$C$2:$C$201))</f>
        <v/>
      </c>
      <c r="C162" s="9">
        <f>IF($A162="","",IF('OI Data'!B162=0,IF('OI Data'!C162=0,"-","Put ล้วน"),'OI Data'!C162/'OI Data'!B162))</f>
        <v/>
      </c>
    </row>
    <row r="163">
      <c r="A163" s="7">
        <f>IF('OI Data'!A163="","",'OI Data'!A163)</f>
        <v/>
      </c>
      <c r="B163" s="8">
        <f>IF($A163="","",SUMPRODUCT(('OI Data'!$A$2:$A$201&lt;$A163)*($A163-'OI Data'!$A$2:$A$201)*'OI Data'!$B$2:$B$201)+SUMPRODUCT(('OI Data'!$A$2:$A$201&gt;$A163)*('OI Data'!$A$2:$A$201-$A163)*'OI Data'!$C$2:$C$201))</f>
        <v/>
      </c>
      <c r="C163" s="9">
        <f>IF($A163="","",IF('OI Data'!B163=0,IF('OI Data'!C163=0,"-","Put ล้วน"),'OI Data'!C163/'OI Data'!B163))</f>
        <v/>
      </c>
    </row>
    <row r="164">
      <c r="A164" s="7">
        <f>IF('OI Data'!A164="","",'OI Data'!A164)</f>
        <v/>
      </c>
      <c r="B164" s="8">
        <f>IF($A164="","",SUMPRODUCT(('OI Data'!$A$2:$A$201&lt;$A164)*($A164-'OI Data'!$A$2:$A$201)*'OI Data'!$B$2:$B$201)+SUMPRODUCT(('OI Data'!$A$2:$A$201&gt;$A164)*('OI Data'!$A$2:$A$201-$A164)*'OI Data'!$C$2:$C$201))</f>
        <v/>
      </c>
      <c r="C164" s="9">
        <f>IF($A164="","",IF('OI Data'!B164=0,IF('OI Data'!C164=0,"-","Put ล้วน"),'OI Data'!C164/'OI Data'!B164))</f>
        <v/>
      </c>
    </row>
    <row r="165">
      <c r="A165" s="7">
        <f>IF('OI Data'!A165="","",'OI Data'!A165)</f>
        <v/>
      </c>
      <c r="B165" s="8">
        <f>IF($A165="","",SUMPRODUCT(('OI Data'!$A$2:$A$201&lt;$A165)*($A165-'OI Data'!$A$2:$A$201)*'OI Data'!$B$2:$B$201)+SUMPRODUCT(('OI Data'!$A$2:$A$201&gt;$A165)*('OI Data'!$A$2:$A$201-$A165)*'OI Data'!$C$2:$C$201))</f>
        <v/>
      </c>
      <c r="C165" s="9">
        <f>IF($A165="","",IF('OI Data'!B165=0,IF('OI Data'!C165=0,"-","Put ล้วน"),'OI Data'!C165/'OI Data'!B165))</f>
        <v/>
      </c>
    </row>
    <row r="166">
      <c r="A166" s="7">
        <f>IF('OI Data'!A166="","",'OI Data'!A166)</f>
        <v/>
      </c>
      <c r="B166" s="8">
        <f>IF($A166="","",SUMPRODUCT(('OI Data'!$A$2:$A$201&lt;$A166)*($A166-'OI Data'!$A$2:$A$201)*'OI Data'!$B$2:$B$201)+SUMPRODUCT(('OI Data'!$A$2:$A$201&gt;$A166)*('OI Data'!$A$2:$A$201-$A166)*'OI Data'!$C$2:$C$201))</f>
        <v/>
      </c>
      <c r="C166" s="9">
        <f>IF($A166="","",IF('OI Data'!B166=0,IF('OI Data'!C166=0,"-","Put ล้วน"),'OI Data'!C166/'OI Data'!B166))</f>
        <v/>
      </c>
    </row>
    <row r="167">
      <c r="A167" s="7">
        <f>IF('OI Data'!A167="","",'OI Data'!A167)</f>
        <v/>
      </c>
      <c r="B167" s="8">
        <f>IF($A167="","",SUMPRODUCT(('OI Data'!$A$2:$A$201&lt;$A167)*($A167-'OI Data'!$A$2:$A$201)*'OI Data'!$B$2:$B$201)+SUMPRODUCT(('OI Data'!$A$2:$A$201&gt;$A167)*('OI Data'!$A$2:$A$201-$A167)*'OI Data'!$C$2:$C$201))</f>
        <v/>
      </c>
      <c r="C167" s="9">
        <f>IF($A167="","",IF('OI Data'!B167=0,IF('OI Data'!C167=0,"-","Put ล้วน"),'OI Data'!C167/'OI Data'!B167))</f>
        <v/>
      </c>
    </row>
    <row r="168">
      <c r="A168" s="7">
        <f>IF('OI Data'!A168="","",'OI Data'!A168)</f>
        <v/>
      </c>
      <c r="B168" s="8">
        <f>IF($A168="","",SUMPRODUCT(('OI Data'!$A$2:$A$201&lt;$A168)*($A168-'OI Data'!$A$2:$A$201)*'OI Data'!$B$2:$B$201)+SUMPRODUCT(('OI Data'!$A$2:$A$201&gt;$A168)*('OI Data'!$A$2:$A$201-$A168)*'OI Data'!$C$2:$C$201))</f>
        <v/>
      </c>
      <c r="C168" s="9">
        <f>IF($A168="","",IF('OI Data'!B168=0,IF('OI Data'!C168=0,"-","Put ล้วน"),'OI Data'!C168/'OI Data'!B168))</f>
        <v/>
      </c>
    </row>
    <row r="169">
      <c r="A169" s="7">
        <f>IF('OI Data'!A169="","",'OI Data'!A169)</f>
        <v/>
      </c>
      <c r="B169" s="8">
        <f>IF($A169="","",SUMPRODUCT(('OI Data'!$A$2:$A$201&lt;$A169)*($A169-'OI Data'!$A$2:$A$201)*'OI Data'!$B$2:$B$201)+SUMPRODUCT(('OI Data'!$A$2:$A$201&gt;$A169)*('OI Data'!$A$2:$A$201-$A169)*'OI Data'!$C$2:$C$201))</f>
        <v/>
      </c>
      <c r="C169" s="9">
        <f>IF($A169="","",IF('OI Data'!B169=0,IF('OI Data'!C169=0,"-","Put ล้วน"),'OI Data'!C169/'OI Data'!B169))</f>
        <v/>
      </c>
    </row>
    <row r="170">
      <c r="A170" s="7">
        <f>IF('OI Data'!A170="","",'OI Data'!A170)</f>
        <v/>
      </c>
      <c r="B170" s="8">
        <f>IF($A170="","",SUMPRODUCT(('OI Data'!$A$2:$A$201&lt;$A170)*($A170-'OI Data'!$A$2:$A$201)*'OI Data'!$B$2:$B$201)+SUMPRODUCT(('OI Data'!$A$2:$A$201&gt;$A170)*('OI Data'!$A$2:$A$201-$A170)*'OI Data'!$C$2:$C$201))</f>
        <v/>
      </c>
      <c r="C170" s="9">
        <f>IF($A170="","",IF('OI Data'!B170=0,IF('OI Data'!C170=0,"-","Put ล้วน"),'OI Data'!C170/'OI Data'!B170))</f>
        <v/>
      </c>
    </row>
    <row r="171">
      <c r="A171" s="7">
        <f>IF('OI Data'!A171="","",'OI Data'!A171)</f>
        <v/>
      </c>
      <c r="B171" s="8">
        <f>IF($A171="","",SUMPRODUCT(('OI Data'!$A$2:$A$201&lt;$A171)*($A171-'OI Data'!$A$2:$A$201)*'OI Data'!$B$2:$B$201)+SUMPRODUCT(('OI Data'!$A$2:$A$201&gt;$A171)*('OI Data'!$A$2:$A$201-$A171)*'OI Data'!$C$2:$C$201))</f>
        <v/>
      </c>
      <c r="C171" s="9">
        <f>IF($A171="","",IF('OI Data'!B171=0,IF('OI Data'!C171=0,"-","Put ล้วน"),'OI Data'!C171/'OI Data'!B171))</f>
        <v/>
      </c>
    </row>
    <row r="172">
      <c r="A172" s="7">
        <f>IF('OI Data'!A172="","",'OI Data'!A172)</f>
        <v/>
      </c>
      <c r="B172" s="8">
        <f>IF($A172="","",SUMPRODUCT(('OI Data'!$A$2:$A$201&lt;$A172)*($A172-'OI Data'!$A$2:$A$201)*'OI Data'!$B$2:$B$201)+SUMPRODUCT(('OI Data'!$A$2:$A$201&gt;$A172)*('OI Data'!$A$2:$A$201-$A172)*'OI Data'!$C$2:$C$201))</f>
        <v/>
      </c>
      <c r="C172" s="9">
        <f>IF($A172="","",IF('OI Data'!B172=0,IF('OI Data'!C172=0,"-","Put ล้วน"),'OI Data'!C172/'OI Data'!B172))</f>
        <v/>
      </c>
    </row>
    <row r="173">
      <c r="A173" s="7">
        <f>IF('OI Data'!A173="","",'OI Data'!A173)</f>
        <v/>
      </c>
      <c r="B173" s="8">
        <f>IF($A173="","",SUMPRODUCT(('OI Data'!$A$2:$A$201&lt;$A173)*($A173-'OI Data'!$A$2:$A$201)*'OI Data'!$B$2:$B$201)+SUMPRODUCT(('OI Data'!$A$2:$A$201&gt;$A173)*('OI Data'!$A$2:$A$201-$A173)*'OI Data'!$C$2:$C$201))</f>
        <v/>
      </c>
      <c r="C173" s="9">
        <f>IF($A173="","",IF('OI Data'!B173=0,IF('OI Data'!C173=0,"-","Put ล้วน"),'OI Data'!C173/'OI Data'!B173))</f>
        <v/>
      </c>
    </row>
    <row r="174">
      <c r="A174" s="7">
        <f>IF('OI Data'!A174="","",'OI Data'!A174)</f>
        <v/>
      </c>
      <c r="B174" s="8">
        <f>IF($A174="","",SUMPRODUCT(('OI Data'!$A$2:$A$201&lt;$A174)*($A174-'OI Data'!$A$2:$A$201)*'OI Data'!$B$2:$B$201)+SUMPRODUCT(('OI Data'!$A$2:$A$201&gt;$A174)*('OI Data'!$A$2:$A$201-$A174)*'OI Data'!$C$2:$C$201))</f>
        <v/>
      </c>
      <c r="C174" s="9">
        <f>IF($A174="","",IF('OI Data'!B174=0,IF('OI Data'!C174=0,"-","Put ล้วน"),'OI Data'!C174/'OI Data'!B174))</f>
        <v/>
      </c>
    </row>
    <row r="175">
      <c r="A175" s="7">
        <f>IF('OI Data'!A175="","",'OI Data'!A175)</f>
        <v/>
      </c>
      <c r="B175" s="8">
        <f>IF($A175="","",SUMPRODUCT(('OI Data'!$A$2:$A$201&lt;$A175)*($A175-'OI Data'!$A$2:$A$201)*'OI Data'!$B$2:$B$201)+SUMPRODUCT(('OI Data'!$A$2:$A$201&gt;$A175)*('OI Data'!$A$2:$A$201-$A175)*'OI Data'!$C$2:$C$201))</f>
        <v/>
      </c>
      <c r="C175" s="9">
        <f>IF($A175="","",IF('OI Data'!B175=0,IF('OI Data'!C175=0,"-","Put ล้วน"),'OI Data'!C175/'OI Data'!B175))</f>
        <v/>
      </c>
    </row>
    <row r="176">
      <c r="A176" s="7">
        <f>IF('OI Data'!A176="","",'OI Data'!A176)</f>
        <v/>
      </c>
      <c r="B176" s="8">
        <f>IF($A176="","",SUMPRODUCT(('OI Data'!$A$2:$A$201&lt;$A176)*($A176-'OI Data'!$A$2:$A$201)*'OI Data'!$B$2:$B$201)+SUMPRODUCT(('OI Data'!$A$2:$A$201&gt;$A176)*('OI Data'!$A$2:$A$201-$A176)*'OI Data'!$C$2:$C$201))</f>
        <v/>
      </c>
      <c r="C176" s="9">
        <f>IF($A176="","",IF('OI Data'!B176=0,IF('OI Data'!C176=0,"-","Put ล้วน"),'OI Data'!C176/'OI Data'!B176))</f>
        <v/>
      </c>
    </row>
    <row r="177">
      <c r="A177" s="7">
        <f>IF('OI Data'!A177="","",'OI Data'!A177)</f>
        <v/>
      </c>
      <c r="B177" s="8">
        <f>IF($A177="","",SUMPRODUCT(('OI Data'!$A$2:$A$201&lt;$A177)*($A177-'OI Data'!$A$2:$A$201)*'OI Data'!$B$2:$B$201)+SUMPRODUCT(('OI Data'!$A$2:$A$201&gt;$A177)*('OI Data'!$A$2:$A$201-$A177)*'OI Data'!$C$2:$C$201))</f>
        <v/>
      </c>
      <c r="C177" s="9">
        <f>IF($A177="","",IF('OI Data'!B177=0,IF('OI Data'!C177=0,"-","Put ล้วน"),'OI Data'!C177/'OI Data'!B177))</f>
        <v/>
      </c>
    </row>
    <row r="178">
      <c r="A178" s="7">
        <f>IF('OI Data'!A178="","",'OI Data'!A178)</f>
        <v/>
      </c>
      <c r="B178" s="8">
        <f>IF($A178="","",SUMPRODUCT(('OI Data'!$A$2:$A$201&lt;$A178)*($A178-'OI Data'!$A$2:$A$201)*'OI Data'!$B$2:$B$201)+SUMPRODUCT(('OI Data'!$A$2:$A$201&gt;$A178)*('OI Data'!$A$2:$A$201-$A178)*'OI Data'!$C$2:$C$201))</f>
        <v/>
      </c>
      <c r="C178" s="9">
        <f>IF($A178="","",IF('OI Data'!B178=0,IF('OI Data'!C178=0,"-","Put ล้วน"),'OI Data'!C178/'OI Data'!B178))</f>
        <v/>
      </c>
    </row>
    <row r="179">
      <c r="A179" s="7">
        <f>IF('OI Data'!A179="","",'OI Data'!A179)</f>
        <v/>
      </c>
      <c r="B179" s="8">
        <f>IF($A179="","",SUMPRODUCT(('OI Data'!$A$2:$A$201&lt;$A179)*($A179-'OI Data'!$A$2:$A$201)*'OI Data'!$B$2:$B$201)+SUMPRODUCT(('OI Data'!$A$2:$A$201&gt;$A179)*('OI Data'!$A$2:$A$201-$A179)*'OI Data'!$C$2:$C$201))</f>
        <v/>
      </c>
      <c r="C179" s="9">
        <f>IF($A179="","",IF('OI Data'!B179=0,IF('OI Data'!C179=0,"-","Put ล้วน"),'OI Data'!C179/'OI Data'!B179))</f>
        <v/>
      </c>
    </row>
    <row r="180">
      <c r="A180" s="7">
        <f>IF('OI Data'!A180="","",'OI Data'!A180)</f>
        <v/>
      </c>
      <c r="B180" s="8">
        <f>IF($A180="","",SUMPRODUCT(('OI Data'!$A$2:$A$201&lt;$A180)*($A180-'OI Data'!$A$2:$A$201)*'OI Data'!$B$2:$B$201)+SUMPRODUCT(('OI Data'!$A$2:$A$201&gt;$A180)*('OI Data'!$A$2:$A$201-$A180)*'OI Data'!$C$2:$C$201))</f>
        <v/>
      </c>
      <c r="C180" s="9">
        <f>IF($A180="","",IF('OI Data'!B180=0,IF('OI Data'!C180=0,"-","Put ล้วน"),'OI Data'!C180/'OI Data'!B180))</f>
        <v/>
      </c>
    </row>
    <row r="181">
      <c r="A181" s="7">
        <f>IF('OI Data'!A181="","",'OI Data'!A181)</f>
        <v/>
      </c>
      <c r="B181" s="8">
        <f>IF($A181="","",SUMPRODUCT(('OI Data'!$A$2:$A$201&lt;$A181)*($A181-'OI Data'!$A$2:$A$201)*'OI Data'!$B$2:$B$201)+SUMPRODUCT(('OI Data'!$A$2:$A$201&gt;$A181)*('OI Data'!$A$2:$A$201-$A181)*'OI Data'!$C$2:$C$201))</f>
        <v/>
      </c>
      <c r="C181" s="9">
        <f>IF($A181="","",IF('OI Data'!B181=0,IF('OI Data'!C181=0,"-","Put ล้วน"),'OI Data'!C181/'OI Data'!B181))</f>
        <v/>
      </c>
    </row>
    <row r="182">
      <c r="A182" s="7">
        <f>IF('OI Data'!A182="","",'OI Data'!A182)</f>
        <v/>
      </c>
      <c r="B182" s="8">
        <f>IF($A182="","",SUMPRODUCT(('OI Data'!$A$2:$A$201&lt;$A182)*($A182-'OI Data'!$A$2:$A$201)*'OI Data'!$B$2:$B$201)+SUMPRODUCT(('OI Data'!$A$2:$A$201&gt;$A182)*('OI Data'!$A$2:$A$201-$A182)*'OI Data'!$C$2:$C$201))</f>
        <v/>
      </c>
      <c r="C182" s="9">
        <f>IF($A182="","",IF('OI Data'!B182=0,IF('OI Data'!C182=0,"-","Put ล้วน"),'OI Data'!C182/'OI Data'!B182))</f>
        <v/>
      </c>
    </row>
    <row r="183">
      <c r="A183" s="7">
        <f>IF('OI Data'!A183="","",'OI Data'!A183)</f>
        <v/>
      </c>
      <c r="B183" s="8">
        <f>IF($A183="","",SUMPRODUCT(('OI Data'!$A$2:$A$201&lt;$A183)*($A183-'OI Data'!$A$2:$A$201)*'OI Data'!$B$2:$B$201)+SUMPRODUCT(('OI Data'!$A$2:$A$201&gt;$A183)*('OI Data'!$A$2:$A$201-$A183)*'OI Data'!$C$2:$C$201))</f>
        <v/>
      </c>
      <c r="C183" s="9">
        <f>IF($A183="","",IF('OI Data'!B183=0,IF('OI Data'!C183=0,"-","Put ล้วน"),'OI Data'!C183/'OI Data'!B183))</f>
        <v/>
      </c>
    </row>
    <row r="184">
      <c r="A184" s="7">
        <f>IF('OI Data'!A184="","",'OI Data'!A184)</f>
        <v/>
      </c>
      <c r="B184" s="8">
        <f>IF($A184="","",SUMPRODUCT(('OI Data'!$A$2:$A$201&lt;$A184)*($A184-'OI Data'!$A$2:$A$201)*'OI Data'!$B$2:$B$201)+SUMPRODUCT(('OI Data'!$A$2:$A$201&gt;$A184)*('OI Data'!$A$2:$A$201-$A184)*'OI Data'!$C$2:$C$201))</f>
        <v/>
      </c>
      <c r="C184" s="9">
        <f>IF($A184="","",IF('OI Data'!B184=0,IF('OI Data'!C184=0,"-","Put ล้วน"),'OI Data'!C184/'OI Data'!B184))</f>
        <v/>
      </c>
    </row>
    <row r="185">
      <c r="A185" s="7">
        <f>IF('OI Data'!A185="","",'OI Data'!A185)</f>
        <v/>
      </c>
      <c r="B185" s="8">
        <f>IF($A185="","",SUMPRODUCT(('OI Data'!$A$2:$A$201&lt;$A185)*($A185-'OI Data'!$A$2:$A$201)*'OI Data'!$B$2:$B$201)+SUMPRODUCT(('OI Data'!$A$2:$A$201&gt;$A185)*('OI Data'!$A$2:$A$201-$A185)*'OI Data'!$C$2:$C$201))</f>
        <v/>
      </c>
      <c r="C185" s="9">
        <f>IF($A185="","",IF('OI Data'!B185=0,IF('OI Data'!C185=0,"-","Put ล้วน"),'OI Data'!C185/'OI Data'!B185))</f>
        <v/>
      </c>
    </row>
    <row r="186">
      <c r="A186" s="7">
        <f>IF('OI Data'!A186="","",'OI Data'!A186)</f>
        <v/>
      </c>
      <c r="B186" s="8">
        <f>IF($A186="","",SUMPRODUCT(('OI Data'!$A$2:$A$201&lt;$A186)*($A186-'OI Data'!$A$2:$A$201)*'OI Data'!$B$2:$B$201)+SUMPRODUCT(('OI Data'!$A$2:$A$201&gt;$A186)*('OI Data'!$A$2:$A$201-$A186)*'OI Data'!$C$2:$C$201))</f>
        <v/>
      </c>
      <c r="C186" s="9">
        <f>IF($A186="","",IF('OI Data'!B186=0,IF('OI Data'!C186=0,"-","Put ล้วน"),'OI Data'!C186/'OI Data'!B186))</f>
        <v/>
      </c>
    </row>
    <row r="187">
      <c r="A187" s="7">
        <f>IF('OI Data'!A187="","",'OI Data'!A187)</f>
        <v/>
      </c>
      <c r="B187" s="8">
        <f>IF($A187="","",SUMPRODUCT(('OI Data'!$A$2:$A$201&lt;$A187)*($A187-'OI Data'!$A$2:$A$201)*'OI Data'!$B$2:$B$201)+SUMPRODUCT(('OI Data'!$A$2:$A$201&gt;$A187)*('OI Data'!$A$2:$A$201-$A187)*'OI Data'!$C$2:$C$201))</f>
        <v/>
      </c>
      <c r="C187" s="9">
        <f>IF($A187="","",IF('OI Data'!B187=0,IF('OI Data'!C187=0,"-","Put ล้วน"),'OI Data'!C187/'OI Data'!B187))</f>
        <v/>
      </c>
    </row>
    <row r="188">
      <c r="A188" s="7">
        <f>IF('OI Data'!A188="","",'OI Data'!A188)</f>
        <v/>
      </c>
      <c r="B188" s="8">
        <f>IF($A188="","",SUMPRODUCT(('OI Data'!$A$2:$A$201&lt;$A188)*($A188-'OI Data'!$A$2:$A$201)*'OI Data'!$B$2:$B$201)+SUMPRODUCT(('OI Data'!$A$2:$A$201&gt;$A188)*('OI Data'!$A$2:$A$201-$A188)*'OI Data'!$C$2:$C$201))</f>
        <v/>
      </c>
      <c r="C188" s="9">
        <f>IF($A188="","",IF('OI Data'!B188=0,IF('OI Data'!C188=0,"-","Put ล้วน"),'OI Data'!C188/'OI Data'!B188))</f>
        <v/>
      </c>
    </row>
    <row r="189">
      <c r="A189" s="7">
        <f>IF('OI Data'!A189="","",'OI Data'!A189)</f>
        <v/>
      </c>
      <c r="B189" s="8">
        <f>IF($A189="","",SUMPRODUCT(('OI Data'!$A$2:$A$201&lt;$A189)*($A189-'OI Data'!$A$2:$A$201)*'OI Data'!$B$2:$B$201)+SUMPRODUCT(('OI Data'!$A$2:$A$201&gt;$A189)*('OI Data'!$A$2:$A$201-$A189)*'OI Data'!$C$2:$C$201))</f>
        <v/>
      </c>
      <c r="C189" s="9">
        <f>IF($A189="","",IF('OI Data'!B189=0,IF('OI Data'!C189=0,"-","Put ล้วน"),'OI Data'!C189/'OI Data'!B189))</f>
        <v/>
      </c>
    </row>
    <row r="190">
      <c r="A190" s="7">
        <f>IF('OI Data'!A190="","",'OI Data'!A190)</f>
        <v/>
      </c>
      <c r="B190" s="8">
        <f>IF($A190="","",SUMPRODUCT(('OI Data'!$A$2:$A$201&lt;$A190)*($A190-'OI Data'!$A$2:$A$201)*'OI Data'!$B$2:$B$201)+SUMPRODUCT(('OI Data'!$A$2:$A$201&gt;$A190)*('OI Data'!$A$2:$A$201-$A190)*'OI Data'!$C$2:$C$201))</f>
        <v/>
      </c>
      <c r="C190" s="9">
        <f>IF($A190="","",IF('OI Data'!B190=0,IF('OI Data'!C190=0,"-","Put ล้วน"),'OI Data'!C190/'OI Data'!B190))</f>
        <v/>
      </c>
    </row>
    <row r="191">
      <c r="A191" s="7">
        <f>IF('OI Data'!A191="","",'OI Data'!A191)</f>
        <v/>
      </c>
      <c r="B191" s="8">
        <f>IF($A191="","",SUMPRODUCT(('OI Data'!$A$2:$A$201&lt;$A191)*($A191-'OI Data'!$A$2:$A$201)*'OI Data'!$B$2:$B$201)+SUMPRODUCT(('OI Data'!$A$2:$A$201&gt;$A191)*('OI Data'!$A$2:$A$201-$A191)*'OI Data'!$C$2:$C$201))</f>
        <v/>
      </c>
      <c r="C191" s="9">
        <f>IF($A191="","",IF('OI Data'!B191=0,IF('OI Data'!C191=0,"-","Put ล้วน"),'OI Data'!C191/'OI Data'!B191))</f>
        <v/>
      </c>
    </row>
    <row r="192">
      <c r="A192" s="7">
        <f>IF('OI Data'!A192="","",'OI Data'!A192)</f>
        <v/>
      </c>
      <c r="B192" s="8">
        <f>IF($A192="","",SUMPRODUCT(('OI Data'!$A$2:$A$201&lt;$A192)*($A192-'OI Data'!$A$2:$A$201)*'OI Data'!$B$2:$B$201)+SUMPRODUCT(('OI Data'!$A$2:$A$201&gt;$A192)*('OI Data'!$A$2:$A$201-$A192)*'OI Data'!$C$2:$C$201))</f>
        <v/>
      </c>
      <c r="C192" s="9">
        <f>IF($A192="","",IF('OI Data'!B192=0,IF('OI Data'!C192=0,"-","Put ล้วน"),'OI Data'!C192/'OI Data'!B192))</f>
        <v/>
      </c>
    </row>
    <row r="193">
      <c r="A193" s="7">
        <f>IF('OI Data'!A193="","",'OI Data'!A193)</f>
        <v/>
      </c>
      <c r="B193" s="8">
        <f>IF($A193="","",SUMPRODUCT(('OI Data'!$A$2:$A$201&lt;$A193)*($A193-'OI Data'!$A$2:$A$201)*'OI Data'!$B$2:$B$201)+SUMPRODUCT(('OI Data'!$A$2:$A$201&gt;$A193)*('OI Data'!$A$2:$A$201-$A193)*'OI Data'!$C$2:$C$201))</f>
        <v/>
      </c>
      <c r="C193" s="9">
        <f>IF($A193="","",IF('OI Data'!B193=0,IF('OI Data'!C193=0,"-","Put ล้วน"),'OI Data'!C193/'OI Data'!B193))</f>
        <v/>
      </c>
    </row>
    <row r="194">
      <c r="A194" s="7">
        <f>IF('OI Data'!A194="","",'OI Data'!A194)</f>
        <v/>
      </c>
      <c r="B194" s="8">
        <f>IF($A194="","",SUMPRODUCT(('OI Data'!$A$2:$A$201&lt;$A194)*($A194-'OI Data'!$A$2:$A$201)*'OI Data'!$B$2:$B$201)+SUMPRODUCT(('OI Data'!$A$2:$A$201&gt;$A194)*('OI Data'!$A$2:$A$201-$A194)*'OI Data'!$C$2:$C$201))</f>
        <v/>
      </c>
      <c r="C194" s="9">
        <f>IF($A194="","",IF('OI Data'!B194=0,IF('OI Data'!C194=0,"-","Put ล้วน"),'OI Data'!C194/'OI Data'!B194))</f>
        <v/>
      </c>
    </row>
    <row r="195">
      <c r="A195" s="7">
        <f>IF('OI Data'!A195="","",'OI Data'!A195)</f>
        <v/>
      </c>
      <c r="B195" s="8">
        <f>IF($A195="","",SUMPRODUCT(('OI Data'!$A$2:$A$201&lt;$A195)*($A195-'OI Data'!$A$2:$A$201)*'OI Data'!$B$2:$B$201)+SUMPRODUCT(('OI Data'!$A$2:$A$201&gt;$A195)*('OI Data'!$A$2:$A$201-$A195)*'OI Data'!$C$2:$C$201))</f>
        <v/>
      </c>
      <c r="C195" s="9">
        <f>IF($A195="","",IF('OI Data'!B195=0,IF('OI Data'!C195=0,"-","Put ล้วน"),'OI Data'!C195/'OI Data'!B195))</f>
        <v/>
      </c>
    </row>
    <row r="196">
      <c r="A196" s="7">
        <f>IF('OI Data'!A196="","",'OI Data'!A196)</f>
        <v/>
      </c>
      <c r="B196" s="8">
        <f>IF($A196="","",SUMPRODUCT(('OI Data'!$A$2:$A$201&lt;$A196)*($A196-'OI Data'!$A$2:$A$201)*'OI Data'!$B$2:$B$201)+SUMPRODUCT(('OI Data'!$A$2:$A$201&gt;$A196)*('OI Data'!$A$2:$A$201-$A196)*'OI Data'!$C$2:$C$201))</f>
        <v/>
      </c>
      <c r="C196" s="9">
        <f>IF($A196="","",IF('OI Data'!B196=0,IF('OI Data'!C196=0,"-","Put ล้วน"),'OI Data'!C196/'OI Data'!B196))</f>
        <v/>
      </c>
    </row>
    <row r="197">
      <c r="A197" s="7">
        <f>IF('OI Data'!A197="","",'OI Data'!A197)</f>
        <v/>
      </c>
      <c r="B197" s="8">
        <f>IF($A197="","",SUMPRODUCT(('OI Data'!$A$2:$A$201&lt;$A197)*($A197-'OI Data'!$A$2:$A$201)*'OI Data'!$B$2:$B$201)+SUMPRODUCT(('OI Data'!$A$2:$A$201&gt;$A197)*('OI Data'!$A$2:$A$201-$A197)*'OI Data'!$C$2:$C$201))</f>
        <v/>
      </c>
      <c r="C197" s="9">
        <f>IF($A197="","",IF('OI Data'!B197=0,IF('OI Data'!C197=0,"-","Put ล้วน"),'OI Data'!C197/'OI Data'!B197))</f>
        <v/>
      </c>
    </row>
    <row r="198">
      <c r="A198" s="7">
        <f>IF('OI Data'!A198="","",'OI Data'!A198)</f>
        <v/>
      </c>
      <c r="B198" s="8">
        <f>IF($A198="","",SUMPRODUCT(('OI Data'!$A$2:$A$201&lt;$A198)*($A198-'OI Data'!$A$2:$A$201)*'OI Data'!$B$2:$B$201)+SUMPRODUCT(('OI Data'!$A$2:$A$201&gt;$A198)*('OI Data'!$A$2:$A$201-$A198)*'OI Data'!$C$2:$C$201))</f>
        <v/>
      </c>
      <c r="C198" s="9">
        <f>IF($A198="","",IF('OI Data'!B198=0,IF('OI Data'!C198=0,"-","Put ล้วน"),'OI Data'!C198/'OI Data'!B198))</f>
        <v/>
      </c>
    </row>
    <row r="199">
      <c r="A199" s="7">
        <f>IF('OI Data'!A199="","",'OI Data'!A199)</f>
        <v/>
      </c>
      <c r="B199" s="8">
        <f>IF($A199="","",SUMPRODUCT(('OI Data'!$A$2:$A$201&lt;$A199)*($A199-'OI Data'!$A$2:$A$201)*'OI Data'!$B$2:$B$201)+SUMPRODUCT(('OI Data'!$A$2:$A$201&gt;$A199)*('OI Data'!$A$2:$A$201-$A199)*'OI Data'!$C$2:$C$201))</f>
        <v/>
      </c>
      <c r="C199" s="9">
        <f>IF($A199="","",IF('OI Data'!B199=0,IF('OI Data'!C199=0,"-","Put ล้วน"),'OI Data'!C199/'OI Data'!B199))</f>
        <v/>
      </c>
    </row>
    <row r="200">
      <c r="A200" s="7">
        <f>IF('OI Data'!A200="","",'OI Data'!A200)</f>
        <v/>
      </c>
      <c r="B200" s="8">
        <f>IF($A200="","",SUMPRODUCT(('OI Data'!$A$2:$A$201&lt;$A200)*($A200-'OI Data'!$A$2:$A$201)*'OI Data'!$B$2:$B$201)+SUMPRODUCT(('OI Data'!$A$2:$A$201&gt;$A200)*('OI Data'!$A$2:$A$201-$A200)*'OI Data'!$C$2:$C$201))</f>
        <v/>
      </c>
      <c r="C200" s="9">
        <f>IF($A200="","",IF('OI Data'!B200=0,IF('OI Data'!C200=0,"-","Put ล้วน"),'OI Data'!C200/'OI Data'!B200))</f>
        <v/>
      </c>
    </row>
    <row r="201">
      <c r="A201" s="7">
        <f>IF('OI Data'!A201="","",'OI Data'!A201)</f>
        <v/>
      </c>
      <c r="B201" s="8">
        <f>IF($A201="","",SUMPRODUCT(('OI Data'!$A$2:$A$201&lt;$A201)*($A201-'OI Data'!$A$2:$A$201)*'OI Data'!$B$2:$B$201)+SUMPRODUCT(('OI Data'!$A$2:$A$201&gt;$A201)*('OI Data'!$A$2:$A$201-$A201)*'OI Data'!$C$2:$C$201))</f>
        <v/>
      </c>
      <c r="C201" s="9">
        <f>IF($A201="","",IF('OI Data'!B201=0,IF('OI Data'!C201=0,"-","Put ล้วน"),'OI Data'!C201/'OI Data'!B201))</f>
        <v/>
      </c>
    </row>
  </sheetData>
  <mergeCells count="6">
    <mergeCell ref="E6:F6"/>
    <mergeCell ref="E1:F1"/>
    <mergeCell ref="E19:F19"/>
    <mergeCell ref="E23:F23"/>
    <mergeCell ref="E14:F14"/>
    <mergeCell ref="E31:F31"/>
  </mergeCells>
  <conditionalFormatting sqref="B2:B201">
    <cfRule type="colorScale" priority="2">
      <colorScale>
        <cfvo type="min"/>
        <cfvo type="max"/>
        <color rgb="FF63BE7B"/>
        <color rgb="FFF8696B"/>
      </colorScale>
    </cfRule>
  </conditionalFormatting>
  <conditionalFormatting sqref="C2:C201">
    <cfRule type="colorScale" priority="3">
      <colorScale>
        <cfvo type="num" val="0"/>
        <cfvo type="num" val="1"/>
        <cfvo type="max"/>
        <color rgb="FFF8CBAD"/>
        <color rgb="FFFFFFFF"/>
        <color rgb="FFA9D08E"/>
      </colorScale>
    </cfRule>
  </conditionalFormatting>
  <conditionalFormatting sqref="A2:A201">
    <cfRule type="expression" priority="4" dxfId="18">
      <formula>$B2=MIN($B$2:$B$201)</formula>
    </cfRule>
    <cfRule type="expression" priority="5" dxfId="17">
      <formula>AND($B2&lt;MIN($B$2:$B$201)*1.02,$B2&gt;MIN($B$2:$B$201))</formula>
    </cfRule>
  </conditionalFormatting>
  <conditionalFormatting sqref="F11">
    <cfRule type="expression" priority="6" dxfId="1">
      <formula>ISNUMBER(SEARCH("เข้าโซน",$F$11))</formula>
    </cfRule>
    <cfRule type="expression" priority="7" dxfId="7">
      <formula>ISNUMBER(SEARCH("โซนกลาง",$F$11))</formula>
    </cfRule>
  </conditionalFormatting>
  <conditionalFormatting sqref="F17">
    <cfRule type="expression" priority="8" dxfId="1">
      <formula>ISNUMBER(SEARCH("ก้นหุบชัด",$F$17))</formula>
    </cfRule>
    <cfRule type="expression" priority="9" dxfId="7">
      <formula>ISNUMBER(SEARCH("แบนมาก",$F$17))</formula>
    </cfRule>
  </conditionalFormatting>
  <conditionalFormatting sqref="F21">
    <cfRule type="expression" priority="10" dxfId="1">
      <formula>ISNUMBER(SEARCH("สอดคล้อง",$F$21))</formula>
    </cfRule>
    <cfRule type="expression" priority="11" dxfId="7">
      <formula>ISNUMBER(SEARCH("ขัดแย้ง",$F$21))</formula>
    </cfRule>
  </conditionalFormatting>
  <conditionalFormatting sqref="F29">
    <cfRule type="expression" priority="12" dxfId="1">
      <formula>ISNUMBER(SEARCH("สูง",$F$29))</formula>
    </cfRule>
    <cfRule type="expression" priority="13" dxfId="7">
      <formula>ISNUMBER(SEARCH("ต่ำ",$F$29))</formula>
    </cfRule>
  </conditionalFormatting>
  <conditionalFormatting sqref="F33">
    <cfRule type="expression" priority="14" dxfId="1">
      <formula>ISNUMBER(SEARCH("สัปดาห์สุดท้าย",$F$33))</formula>
    </cfRule>
    <cfRule type="expression" priority="15" dxfId="7">
      <formula>ISNUMBER(SEARCH("เกิน 1 สัปดาห์",$F$33))</formula>
    </cfRule>
  </conditionalFormatting>
  <conditionalFormatting sqref="F32">
    <cfRule type="expression" priority="16" dxfId="6">
      <formula>ISNUMBER(SEARCH("พอใช้",$F$32))</formula>
    </cfRule>
    <cfRule type="expression" priority="17" dxfId="5">
      <formula>ISNUMBER(SEARCH("ระวัง",$F$32))</formula>
    </cfRule>
    <cfRule type="expression" priority="18" dxfId="4">
      <formula>ISNUMBER(SEARCH("ข้ามไป",$F$32))</formula>
    </cfRule>
  </conditionalFormatting>
  <conditionalFormatting sqref="F8">
    <cfRule type="expression" priority="19" dxfId="3">
      <formula>$F$8&gt;0</formula>
    </cfRule>
    <cfRule type="expression" priority="20" dxfId="2">
      <formula>$F$8&lt;0</formula>
    </cfRule>
  </conditionalFormatting>
  <conditionalFormatting sqref="F30">
    <cfRule type="expression" priority="21" dxfId="1">
      <formula>ISNUMBER(SEARCH("ยืนยันด้วยยอด CME แล้ว",$F$30))</formula>
    </cfRule>
    <cfRule type="expression" priority="22" dxfId="0">
      <formula>ISNUMBER(SEARCH("กรอกยอด",$F$30))</formula>
    </cfRule>
  </conditionalFormatting>
  <pageMargins left="0.75" right="0.75" top="1" bottom="1" header="0.511811023622047" footer="0.511811023622047"/>
  <pageSetup orientation="portrait" paperSize="9" horizontalDpi="300" verticalDpi="300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วันที่ข้อมูล</t>
        </is>
      </c>
      <c r="B1" t="inlineStr">
        <is>
          <t>สัญญา</t>
        </is>
      </c>
      <c r="C1" t="inlineStr">
        <is>
          <t>DTE</t>
        </is>
      </c>
      <c r="D1" t="inlineStr">
        <is>
          <t>ราคา</t>
        </is>
      </c>
      <c r="E1" t="inlineStr">
        <is>
          <t>Max Pain</t>
        </is>
      </c>
      <c r="F1" t="inlineStr">
        <is>
          <t>ห่างจากราคา %</t>
        </is>
      </c>
      <c r="G1" t="inlineStr">
        <is>
          <t>ก้นหุบ (จำนวน strike)</t>
        </is>
      </c>
      <c r="H1" t="inlineStr">
        <is>
          <t>P/C Ratio</t>
        </is>
      </c>
      <c r="I1" t="inlineStr">
        <is>
          <t>ครอบคลุม CME %</t>
        </is>
      </c>
      <c r="J1" t="inlineStr">
        <is>
          <t>รายงาน</t>
        </is>
      </c>
      <c r="K1" t="inlineStr">
        <is>
          <t>บันทึกเมื่อ</t>
        </is>
      </c>
    </row>
    <row r="2">
      <c r="A2" s="35" t="n">
        <v>46283</v>
      </c>
      <c r="B2" t="inlineStr">
        <is>
          <t>MW1 Week 3 - SEP 2026 (U26)</t>
        </is>
      </c>
      <c r="C2" s="36" t="n">
        <v>3</v>
      </c>
      <c r="D2" s="42" t="n">
        <v>4390.7</v>
      </c>
      <c r="E2" s="36" t="n">
        <v>4370</v>
      </c>
      <c r="F2" s="38" t="n">
        <v>-0.004714510214772091</v>
      </c>
      <c r="G2" s="36" t="n">
        <v>6</v>
      </c>
      <c r="H2" s="39" t="n">
        <v>0.8086876155268022</v>
      </c>
      <c r="I2" s="40" t="n">
        <v>1</v>
      </c>
      <c r="J2" t="inlineStr">
        <is>
          <t>PRELIMINARY</t>
        </is>
      </c>
      <c r="K2" s="43" t="n">
        <v>46286.8997946875</v>
      </c>
    </row>
    <row r="3">
      <c r="A3" s="35" t="n">
        <v>46283</v>
      </c>
      <c r="B3" t="inlineStr">
        <is>
          <t>AB1 Week 4 - SEP 2026 (U26)</t>
        </is>
      </c>
      <c r="C3" s="36" t="n">
        <v>4</v>
      </c>
      <c r="D3" s="42" t="n">
        <v>4390.7</v>
      </c>
      <c r="E3" s="36" t="n">
        <v>4375</v>
      </c>
      <c r="F3" s="38" t="n">
        <v>-0.003575739631493798</v>
      </c>
      <c r="G3" s="36" t="n">
        <v>2</v>
      </c>
      <c r="H3" s="39" t="n">
        <v>1.270337922403004</v>
      </c>
      <c r="I3" s="40" t="n">
        <v>1</v>
      </c>
      <c r="J3" t="inlineStr">
        <is>
          <t>PRELIMINARY</t>
        </is>
      </c>
      <c r="K3" s="43" t="n">
        <v>46286.90689869213</v>
      </c>
    </row>
    <row r="4">
      <c r="A4" s="35" t="n">
        <v>46288</v>
      </c>
      <c r="B4" t="inlineStr">
        <is>
          <t>E21 Week 4 - SEP 2026 (U26)</t>
        </is>
      </c>
      <c r="C4" s="36" t="n">
        <v>2</v>
      </c>
      <c r="D4" s="42" t="n">
        <v>4318.4</v>
      </c>
      <c r="E4" s="36" t="n">
        <v>4355</v>
      </c>
      <c r="F4" s="38" t="n">
        <v>0.008475361244905605</v>
      </c>
      <c r="G4" s="36" t="n">
        <v>4</v>
      </c>
      <c r="H4" s="39" t="n">
        <v>0.7977815699658704</v>
      </c>
      <c r="I4" s="40" t="n">
        <v>1</v>
      </c>
      <c r="J4" t="inlineStr">
        <is>
          <t>PRELIMINARY</t>
        </is>
      </c>
      <c r="K4" s="43" t="n">
        <v>46289.80939699074</v>
      </c>
      <c r="L4" t="inlineStr">
        <is>
          <t>DEC 26</t>
        </is>
      </c>
    </row>
    <row r="5">
      <c r="A5" s="35" t="n">
        <v>46290</v>
      </c>
      <c r="B5" t="inlineStr">
        <is>
          <t>MW1 Week 4 - SEP 2026 (U26)</t>
        </is>
      </c>
      <c r="C5" s="36" t="n">
        <v>3</v>
      </c>
      <c r="D5" s="42" t="n">
        <v>4321.2</v>
      </c>
      <c r="E5" s="36" t="n">
        <v>4330</v>
      </c>
      <c r="F5" s="38" t="n">
        <v>0.002036471350550815</v>
      </c>
      <c r="G5" s="36" t="n">
        <v>3</v>
      </c>
      <c r="H5" s="39" t="n">
        <v>1.106643356643357</v>
      </c>
      <c r="I5" s="40" t="n">
        <v>1</v>
      </c>
      <c r="J5" t="inlineStr">
        <is>
          <t>PRELIMINARY</t>
        </is>
      </c>
      <c r="K5" s="43" t="n">
        <v>46292.78674093509</v>
      </c>
      <c r="L5" t="inlineStr">
        <is>
          <t>DEC 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2026-09-12T05:22:54Z</dcterms:created>
  <dcterms:modified xmlns:dcterms="http://purl.org/dc/terms/" xmlns:xsi="http://www.w3.org/2001/XMLSchema-instance" xsi:type="dcterms:W3CDTF">2026-09-27T11:52:54Z</dcterms:modified>
  <cp:revision>3</cp:revision>
</cp:coreProperties>
</file>